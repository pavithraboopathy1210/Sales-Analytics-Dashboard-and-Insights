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Pavithra\OneDrive\Desktop\"/>
    </mc:Choice>
  </mc:AlternateContent>
  <xr:revisionPtr revIDLastSave="0" documentId="8_{B3F4DDA3-BC21-40C2-8F0C-42410528DEF4}" xr6:coauthVersionLast="47" xr6:coauthVersionMax="47" xr10:uidLastSave="{00000000-0000-0000-0000-000000000000}"/>
  <bookViews>
    <workbookView xWindow="24" yWindow="24" windowWidth="23016" windowHeight="12216" firstSheet="1" activeTab="4" xr2:uid="{FC356232-F593-4508-B5B9-9E0D83AEEA7A}"/>
  </bookViews>
  <sheets>
    <sheet name="Sales Order Transaction Data" sheetId="1" r:id="rId1"/>
    <sheet name="Sheet2" sheetId="11" r:id="rId2"/>
    <sheet name="Pivot Table and Charts" sheetId="10" r:id="rId3"/>
    <sheet name="Order_Data_Cleaning" sheetId="3" r:id="rId4"/>
    <sheet name="Business Insight" sheetId="12" r:id="rId5"/>
  </sheets>
  <definedNames>
    <definedName name="ExternalData_1" localSheetId="3" hidden="1">Order_Data_Cleaning!$A$1:$E$8</definedName>
    <definedName name="ExternalData_2" localSheetId="3" hidden="1">Order_Data_Cleaning!$A$16:$E$22</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L3" i="1"/>
  <c r="L4" i="1"/>
  <c r="L5" i="1"/>
  <c r="L6" i="1"/>
  <c r="L7" i="1"/>
  <c r="L8" i="1"/>
  <c r="L9" i="1"/>
  <c r="L10" i="1"/>
  <c r="L11" i="1"/>
  <c r="L12" i="1"/>
  <c r="L13" i="1"/>
  <c r="L14" i="1"/>
  <c r="L15" i="1"/>
  <c r="L16" i="1"/>
  <c r="L17" i="1"/>
  <c r="L18" i="1"/>
  <c r="L19" i="1"/>
  <c r="L20" i="1"/>
  <c r="L21" i="1"/>
  <c r="L22" i="1"/>
  <c r="L23" i="1"/>
  <c r="L24" i="1"/>
  <c r="L25" i="1"/>
  <c r="L26" i="1"/>
  <c r="L2" i="1"/>
  <c r="H28" i="1"/>
  <c r="H27" i="1"/>
  <c r="I28" i="1"/>
  <c r="I27" i="1"/>
  <c r="J3" i="1"/>
  <c r="J4" i="1"/>
  <c r="J6" i="1"/>
  <c r="J7" i="1"/>
  <c r="I3" i="1"/>
  <c r="I4" i="1"/>
  <c r="I5" i="1"/>
  <c r="J5" i="1" s="1"/>
  <c r="I6" i="1"/>
  <c r="I7" i="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 i="1"/>
  <c r="J2" i="1" s="1"/>
</calcChain>
</file>

<file path=xl/sharedStrings.xml><?xml version="1.0" encoding="utf-8"?>
<sst xmlns="http://schemas.openxmlformats.org/spreadsheetml/2006/main" count="214" uniqueCount="102">
  <si>
    <t>Order_ID</t>
  </si>
  <si>
    <t>Order_Date</t>
  </si>
  <si>
    <t>Region</t>
  </si>
  <si>
    <t>Category</t>
  </si>
  <si>
    <t>Product</t>
  </si>
  <si>
    <t>Quantity</t>
  </si>
  <si>
    <t>Unit_Price</t>
  </si>
  <si>
    <t>Profit</t>
  </si>
  <si>
    <t>North</t>
  </si>
  <si>
    <t>Electronics</t>
  </si>
  <si>
    <t>Laptop</t>
  </si>
  <si>
    <t>South</t>
  </si>
  <si>
    <t>Furniture</t>
  </si>
  <si>
    <t>Chair</t>
  </si>
  <si>
    <t>East</t>
  </si>
  <si>
    <t>Mobile</t>
  </si>
  <si>
    <t>West</t>
  </si>
  <si>
    <t>Stationery</t>
  </si>
  <si>
    <t>Pen</t>
  </si>
  <si>
    <t>Table</t>
  </si>
  <si>
    <t>Headphones</t>
  </si>
  <si>
    <t>Sofa</t>
  </si>
  <si>
    <t>Notebook</t>
  </si>
  <si>
    <t>Marker</t>
  </si>
  <si>
    <t>Tablet</t>
  </si>
  <si>
    <t xml:space="preserve">order id </t>
  </si>
  <si>
    <t xml:space="preserve"> customer name </t>
  </si>
  <si>
    <t xml:space="preserve"> order_date </t>
  </si>
  <si>
    <t xml:space="preserve"> sales </t>
  </si>
  <si>
    <t xml:space="preserve"> profit </t>
  </si>
  <si>
    <t xml:space="preserve"> Ravi </t>
  </si>
  <si>
    <t xml:space="preserve"> Anu </t>
  </si>
  <si>
    <t xml:space="preserve"> Kumar </t>
  </si>
  <si>
    <t xml:space="preserve"> text</t>
  </si>
  <si>
    <t xml:space="preserve"> Meena </t>
  </si>
  <si>
    <t xml:space="preserve"> five thousand </t>
  </si>
  <si>
    <t xml:space="preserve"> Suresh </t>
  </si>
  <si>
    <t xml:space="preserve"> </t>
  </si>
  <si>
    <t xml:space="preserve"> Priya </t>
  </si>
  <si>
    <t>101</t>
  </si>
  <si>
    <t>Ravi</t>
  </si>
  <si>
    <t>12-01-2024</t>
  </si>
  <si>
    <t>1200</t>
  </si>
  <si>
    <t>102</t>
  </si>
  <si>
    <t>Anu</t>
  </si>
  <si>
    <t>13-01-2024</t>
  </si>
  <si>
    <t>900</t>
  </si>
  <si>
    <t>103</t>
  </si>
  <si>
    <t>Kumar</t>
  </si>
  <si>
    <t>14-01-2024</t>
  </si>
  <si>
    <t>104</t>
  </si>
  <si>
    <t>Meena</t>
  </si>
  <si>
    <t>15-01-2024</t>
  </si>
  <si>
    <t>1100</t>
  </si>
  <si>
    <t>105</t>
  </si>
  <si>
    <t>Suresh</t>
  </si>
  <si>
    <t>16-01-2024</t>
  </si>
  <si>
    <t>1500</t>
  </si>
  <si>
    <t>106</t>
  </si>
  <si>
    <t>Priya</t>
  </si>
  <si>
    <t>17-01-2024</t>
  </si>
  <si>
    <t>1800</t>
  </si>
  <si>
    <t>0</t>
  </si>
  <si>
    <t xml:space="preserve">Order_Id </t>
  </si>
  <si>
    <t xml:space="preserve"> Customer_Name </t>
  </si>
  <si>
    <t xml:space="preserve"> Order_Date </t>
  </si>
  <si>
    <t xml:space="preserve"> Sales </t>
  </si>
  <si>
    <t xml:space="preserve"> Profit </t>
  </si>
  <si>
    <t>1.Removed all blank rows and rows containing only commas.
2.Converted all order date values into a single proper date format.
3.Checked Sales and Profit columns for text values.
4.Replaced incorrect text entries with valid numeric values.
5.Ensured there were no errors in numeric columns.
6.Renamed all column headers with clear and consistent names and applied filters.</t>
  </si>
  <si>
    <t>Sales</t>
  </si>
  <si>
    <t>Profit%</t>
  </si>
  <si>
    <t>Month</t>
  </si>
  <si>
    <t>Total</t>
  </si>
  <si>
    <t>Avg</t>
  </si>
  <si>
    <t>Profit or Loss</t>
  </si>
  <si>
    <t>Row Labels</t>
  </si>
  <si>
    <t>Grand Total</t>
  </si>
  <si>
    <t>Sum of Sales</t>
  </si>
  <si>
    <t>Jan</t>
  </si>
  <si>
    <t>Feb</t>
  </si>
  <si>
    <t>Mar</t>
  </si>
  <si>
    <t>Apr</t>
  </si>
  <si>
    <t>May</t>
  </si>
  <si>
    <t>Jun</t>
  </si>
  <si>
    <t>Jul</t>
  </si>
  <si>
    <t>Aug</t>
  </si>
  <si>
    <t>Sep</t>
  </si>
  <si>
    <t>Oct</t>
  </si>
  <si>
    <t>Nov</t>
  </si>
  <si>
    <t>Dec</t>
  </si>
  <si>
    <t>Total sales by region</t>
  </si>
  <si>
    <t>Total sales by product</t>
  </si>
  <si>
    <t>Monthly Sales Trend</t>
  </si>
  <si>
    <t>Sum of Profit</t>
  </si>
  <si>
    <t>Profit by Category</t>
  </si>
  <si>
    <t>Business Insight</t>
  </si>
  <si>
    <t>1.North region has highest sales</t>
  </si>
  <si>
    <t>2.Mobile gives a highest profit</t>
  </si>
  <si>
    <t>3.Sales increased in January Month</t>
  </si>
  <si>
    <t>4.NoteBook Has lowest Profit</t>
  </si>
  <si>
    <t>Sum of Quantity</t>
  </si>
  <si>
    <t>5.Pen has sold most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</si>
</sst>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sz val="16"/>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2" fillId="0" borderId="0" applyFont="0" applyFill="0" applyBorder="0" applyAlignment="0" applyProtection="0"/>
  </cellStyleXfs>
  <cellXfs count="29">
    <xf numFmtId="0" fontId="0" fillId="0" borderId="0" xfId="0"/>
    <xf numFmtId="14" fontId="0" fillId="0" borderId="0" xfId="0" applyNumberFormat="1"/>
    <xf numFmtId="0" fontId="0" fillId="0" borderId="1" xfId="0" applyBorder="1" applyAlignment="1">
      <alignment vertical="center" wrapText="1"/>
    </xf>
    <xf numFmtId="14" fontId="0" fillId="0" borderId="1" xfId="0" applyNumberFormat="1" applyBorder="1" applyAlignment="1">
      <alignment vertical="center" wrapText="1"/>
    </xf>
    <xf numFmtId="43" fontId="0" fillId="0" borderId="0" xfId="1" applyFont="1"/>
    <xf numFmtId="0" fontId="0" fillId="0" borderId="1" xfId="0" applyBorder="1"/>
    <xf numFmtId="2" fontId="0" fillId="0" borderId="1" xfId="0" applyNumberFormat="1" applyBorder="1"/>
    <xf numFmtId="0" fontId="0" fillId="3" borderId="1" xfId="0" applyFill="1" applyBorder="1"/>
    <xf numFmtId="0" fontId="0" fillId="0" borderId="0" xfId="0" pivotButton="1"/>
    <xf numFmtId="0" fontId="0" fillId="0" borderId="0" xfId="0" applyAlignment="1">
      <alignment horizontal="left"/>
    </xf>
    <xf numFmtId="0" fontId="0" fillId="0" borderId="2" xfId="0" applyBorder="1" applyAlignment="1">
      <alignment vertical="center" wrapText="1"/>
    </xf>
    <xf numFmtId="0" fontId="0" fillId="0" borderId="3" xfId="0" applyBorder="1"/>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5" xfId="0" applyFont="1" applyFill="1" applyBorder="1"/>
    <xf numFmtId="0" fontId="1" fillId="2" borderId="6" xfId="0" applyFont="1" applyFill="1" applyBorder="1" applyAlignment="1">
      <alignment horizontal="center" vertical="center" wrapText="1"/>
    </xf>
    <xf numFmtId="0" fontId="0" fillId="0" borderId="7" xfId="0" applyBorder="1" applyAlignment="1">
      <alignment vertical="center" wrapText="1"/>
    </xf>
    <xf numFmtId="14" fontId="0" fillId="0" borderId="8" xfId="0" applyNumberFormat="1" applyBorder="1" applyAlignment="1">
      <alignment vertical="center" wrapText="1"/>
    </xf>
    <xf numFmtId="0" fontId="0" fillId="0" borderId="8" xfId="0" applyBorder="1" applyAlignment="1">
      <alignment vertical="center" wrapText="1"/>
    </xf>
    <xf numFmtId="0" fontId="0" fillId="0" borderId="8" xfId="0" applyBorder="1"/>
    <xf numFmtId="2" fontId="0" fillId="0" borderId="8" xfId="0" applyNumberFormat="1" applyBorder="1"/>
    <xf numFmtId="0" fontId="0" fillId="0" borderId="9" xfId="0" applyBorder="1"/>
    <xf numFmtId="0" fontId="0" fillId="0" borderId="0" xfId="0" applyAlignment="1">
      <alignment horizontal="center"/>
    </xf>
    <xf numFmtId="0" fontId="0" fillId="0" borderId="0" xfId="0"/>
    <xf numFmtId="0" fontId="4" fillId="0" borderId="1" xfId="0" applyFont="1" applyBorder="1" applyAlignment="1">
      <alignment horizontal="center" wrapText="1"/>
    </xf>
    <xf numFmtId="0" fontId="3" fillId="0" borderId="1"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cellXfs>
  <cellStyles count="2">
    <cellStyle name="Comma" xfId="1" builtinId="3"/>
    <cellStyle name="Normal" xfId="0" builtinId="0"/>
  </cellStyles>
  <dxfs count="18">
    <dxf>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9" formatCode="dd/mm/yyyy"/>
    </dxf>
    <dxf>
      <numFmt numFmtId="0" formatCode="General"/>
    </dxf>
  </dxfs>
  <tableStyles count="1" defaultTableStyle="TableStyleMedium2" defaultPivotStyle="PivotStyleLight16">
    <tableStyle name="Invisible" pivot="0" table="0" count="0" xr9:uid="{EA8D968A-9507-4AD4-AB9E-DAEA2E42923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a:t>
            </a:r>
            <a:r>
              <a:rPr lang="en-IN" b="1" baseline="0"/>
              <a:t> Region(Column Chart)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324759405074366"/>
          <c:y val="0.15782407407407409"/>
          <c:w val="0.85160131501073899"/>
          <c:h val="0.68125818095559276"/>
        </c:manualLayout>
      </c:layout>
      <c:barChart>
        <c:barDir val="col"/>
        <c:grouping val="clustered"/>
        <c:varyColors val="0"/>
        <c:ser>
          <c:idx val="0"/>
          <c:order val="0"/>
          <c:tx>
            <c:strRef>
              <c:f>'Sales Order Transaction Data'!$I$1</c:f>
              <c:strCache>
                <c:ptCount val="1"/>
                <c:pt idx="0">
                  <c:v>Sales</c:v>
                </c:pt>
              </c:strCache>
            </c:strRef>
          </c:tx>
          <c:spPr>
            <a:solidFill>
              <a:schemeClr val="accent1"/>
            </a:solidFill>
            <a:ln>
              <a:noFill/>
            </a:ln>
            <a:effectLst/>
          </c:spPr>
          <c:invertIfNegative val="0"/>
          <c:cat>
            <c:strRef>
              <c:f>'Sales Order Transaction Data'!$C$2:$C$26</c:f>
              <c:strCache>
                <c:ptCount val="25"/>
                <c:pt idx="0">
                  <c:v>North</c:v>
                </c:pt>
                <c:pt idx="1">
                  <c:v>South</c:v>
                </c:pt>
                <c:pt idx="2">
                  <c:v>East</c:v>
                </c:pt>
                <c:pt idx="3">
                  <c:v>West</c:v>
                </c:pt>
                <c:pt idx="4">
                  <c:v>North</c:v>
                </c:pt>
                <c:pt idx="5">
                  <c:v>South</c:v>
                </c:pt>
                <c:pt idx="6">
                  <c:v>East</c:v>
                </c:pt>
                <c:pt idx="7">
                  <c:v>West</c:v>
                </c:pt>
                <c:pt idx="8">
                  <c:v>North</c:v>
                </c:pt>
                <c:pt idx="9">
                  <c:v>South</c:v>
                </c:pt>
                <c:pt idx="10">
                  <c:v>East</c:v>
                </c:pt>
                <c:pt idx="11">
                  <c:v>West</c:v>
                </c:pt>
                <c:pt idx="12">
                  <c:v>North</c:v>
                </c:pt>
                <c:pt idx="13">
                  <c:v>South</c:v>
                </c:pt>
                <c:pt idx="14">
                  <c:v>East</c:v>
                </c:pt>
                <c:pt idx="15">
                  <c:v>West</c:v>
                </c:pt>
                <c:pt idx="16">
                  <c:v>North</c:v>
                </c:pt>
                <c:pt idx="17">
                  <c:v>South</c:v>
                </c:pt>
                <c:pt idx="18">
                  <c:v>East</c:v>
                </c:pt>
                <c:pt idx="19">
                  <c:v>West</c:v>
                </c:pt>
                <c:pt idx="20">
                  <c:v>North</c:v>
                </c:pt>
                <c:pt idx="21">
                  <c:v>South</c:v>
                </c:pt>
                <c:pt idx="22">
                  <c:v>East</c:v>
                </c:pt>
                <c:pt idx="23">
                  <c:v>West</c:v>
                </c:pt>
                <c:pt idx="24">
                  <c:v>North</c:v>
                </c:pt>
              </c:strCache>
            </c:strRef>
          </c:cat>
          <c:val>
            <c:numRef>
              <c:f>'Sales Order Transaction Data'!$I$2:$I$26</c:f>
              <c:numCache>
                <c:formatCode>General</c:formatCode>
                <c:ptCount val="25"/>
                <c:pt idx="0">
                  <c:v>110000</c:v>
                </c:pt>
                <c:pt idx="1">
                  <c:v>17500</c:v>
                </c:pt>
                <c:pt idx="2">
                  <c:v>60000</c:v>
                </c:pt>
                <c:pt idx="3">
                  <c:v>400</c:v>
                </c:pt>
                <c:pt idx="4">
                  <c:v>12000</c:v>
                </c:pt>
                <c:pt idx="5">
                  <c:v>10000</c:v>
                </c:pt>
                <c:pt idx="6">
                  <c:v>30000</c:v>
                </c:pt>
                <c:pt idx="7">
                  <c:v>42000</c:v>
                </c:pt>
                <c:pt idx="8">
                  <c:v>800</c:v>
                </c:pt>
                <c:pt idx="9">
                  <c:v>56000</c:v>
                </c:pt>
                <c:pt idx="10">
                  <c:v>21600</c:v>
                </c:pt>
                <c:pt idx="11">
                  <c:v>750</c:v>
                </c:pt>
                <c:pt idx="12">
                  <c:v>36000</c:v>
                </c:pt>
                <c:pt idx="13">
                  <c:v>23000</c:v>
                </c:pt>
                <c:pt idx="14">
                  <c:v>12000</c:v>
                </c:pt>
                <c:pt idx="15">
                  <c:v>54000</c:v>
                </c:pt>
                <c:pt idx="16">
                  <c:v>32000</c:v>
                </c:pt>
                <c:pt idx="17">
                  <c:v>900</c:v>
                </c:pt>
                <c:pt idx="18">
                  <c:v>78000</c:v>
                </c:pt>
                <c:pt idx="19">
                  <c:v>11100</c:v>
                </c:pt>
                <c:pt idx="20">
                  <c:v>15600</c:v>
                </c:pt>
                <c:pt idx="21">
                  <c:v>35000</c:v>
                </c:pt>
                <c:pt idx="22">
                  <c:v>540</c:v>
                </c:pt>
                <c:pt idx="23">
                  <c:v>66000</c:v>
                </c:pt>
                <c:pt idx="24">
                  <c:v>12500</c:v>
                </c:pt>
              </c:numCache>
            </c:numRef>
          </c:val>
          <c:extLst>
            <c:ext xmlns:c16="http://schemas.microsoft.com/office/drawing/2014/chart" uri="{C3380CC4-5D6E-409C-BE32-E72D297353CC}">
              <c16:uniqueId val="{00000000-15FF-4168-9F92-DFFB6FD69D75}"/>
            </c:ext>
          </c:extLst>
        </c:ser>
        <c:dLbls>
          <c:showLegendKey val="0"/>
          <c:showVal val="0"/>
          <c:showCatName val="0"/>
          <c:showSerName val="0"/>
          <c:showPercent val="0"/>
          <c:showBubbleSize val="0"/>
        </c:dLbls>
        <c:gapWidth val="219"/>
        <c:overlap val="-27"/>
        <c:axId val="1507398719"/>
        <c:axId val="1507399199"/>
      </c:barChart>
      <c:catAx>
        <c:axId val="15073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399199"/>
        <c:crosses val="autoZero"/>
        <c:auto val="1"/>
        <c:lblAlgn val="ctr"/>
        <c:lblOffset val="100"/>
        <c:noMultiLvlLbl val="0"/>
      </c:catAx>
      <c:valAx>
        <c:axId val="150739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39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by </a:t>
            </a:r>
            <a:r>
              <a:rPr lang="en-US" b="1"/>
              <a:t>Sales(bar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Order Transaction Data'!$I$1</c:f>
              <c:strCache>
                <c:ptCount val="1"/>
                <c:pt idx="0">
                  <c:v>Sales</c:v>
                </c:pt>
              </c:strCache>
            </c:strRef>
          </c:tx>
          <c:spPr>
            <a:solidFill>
              <a:schemeClr val="accent1"/>
            </a:solidFill>
            <a:ln>
              <a:noFill/>
            </a:ln>
            <a:effectLst/>
          </c:spPr>
          <c:invertIfNegative val="0"/>
          <c:cat>
            <c:strRef>
              <c:f>'Sales Order Transaction Data'!$E$2:$E$26</c:f>
              <c:strCache>
                <c:ptCount val="25"/>
                <c:pt idx="0">
                  <c:v>Laptop</c:v>
                </c:pt>
                <c:pt idx="1">
                  <c:v>Chair</c:v>
                </c:pt>
                <c:pt idx="2">
                  <c:v>Mobile</c:v>
                </c:pt>
                <c:pt idx="3">
                  <c:v>Pen</c:v>
                </c:pt>
                <c:pt idx="4">
                  <c:v>Table</c:v>
                </c:pt>
                <c:pt idx="5">
                  <c:v>Headphones</c:v>
                </c:pt>
                <c:pt idx="6">
                  <c:v>Sofa</c:v>
                </c:pt>
                <c:pt idx="7">
                  <c:v>Mobile</c:v>
                </c:pt>
                <c:pt idx="8">
                  <c:v>Notebook</c:v>
                </c:pt>
                <c:pt idx="9">
                  <c:v>Laptop</c:v>
                </c:pt>
                <c:pt idx="10">
                  <c:v>Chair</c:v>
                </c:pt>
                <c:pt idx="11">
                  <c:v>Marker</c:v>
                </c:pt>
                <c:pt idx="12">
                  <c:v>Tablet</c:v>
                </c:pt>
                <c:pt idx="13">
                  <c:v>Table</c:v>
                </c:pt>
                <c:pt idx="14">
                  <c:v>Headphones</c:v>
                </c:pt>
                <c:pt idx="15">
                  <c:v>Laptop</c:v>
                </c:pt>
                <c:pt idx="16">
                  <c:v>Sofa</c:v>
                </c:pt>
                <c:pt idx="17">
                  <c:v>Notebook</c:v>
                </c:pt>
                <c:pt idx="18">
                  <c:v>Mobile</c:v>
                </c:pt>
                <c:pt idx="19">
                  <c:v>Chair</c:v>
                </c:pt>
                <c:pt idx="20">
                  <c:v>Headphones</c:v>
                </c:pt>
                <c:pt idx="21">
                  <c:v>Tablet</c:v>
                </c:pt>
                <c:pt idx="22">
                  <c:v>Pen</c:v>
                </c:pt>
                <c:pt idx="23">
                  <c:v>Mobile</c:v>
                </c:pt>
                <c:pt idx="24">
                  <c:v>Table</c:v>
                </c:pt>
              </c:strCache>
            </c:strRef>
          </c:cat>
          <c:val>
            <c:numRef>
              <c:f>'Sales Order Transaction Data'!$I$2:$I$26</c:f>
              <c:numCache>
                <c:formatCode>General</c:formatCode>
                <c:ptCount val="25"/>
                <c:pt idx="0">
                  <c:v>110000</c:v>
                </c:pt>
                <c:pt idx="1">
                  <c:v>17500</c:v>
                </c:pt>
                <c:pt idx="2">
                  <c:v>60000</c:v>
                </c:pt>
                <c:pt idx="3">
                  <c:v>400</c:v>
                </c:pt>
                <c:pt idx="4">
                  <c:v>12000</c:v>
                </c:pt>
                <c:pt idx="5">
                  <c:v>10000</c:v>
                </c:pt>
                <c:pt idx="6">
                  <c:v>30000</c:v>
                </c:pt>
                <c:pt idx="7">
                  <c:v>42000</c:v>
                </c:pt>
                <c:pt idx="8">
                  <c:v>800</c:v>
                </c:pt>
                <c:pt idx="9">
                  <c:v>56000</c:v>
                </c:pt>
                <c:pt idx="10">
                  <c:v>21600</c:v>
                </c:pt>
                <c:pt idx="11">
                  <c:v>750</c:v>
                </c:pt>
                <c:pt idx="12">
                  <c:v>36000</c:v>
                </c:pt>
                <c:pt idx="13">
                  <c:v>23000</c:v>
                </c:pt>
                <c:pt idx="14">
                  <c:v>12000</c:v>
                </c:pt>
                <c:pt idx="15">
                  <c:v>54000</c:v>
                </c:pt>
                <c:pt idx="16">
                  <c:v>32000</c:v>
                </c:pt>
                <c:pt idx="17">
                  <c:v>900</c:v>
                </c:pt>
                <c:pt idx="18">
                  <c:v>78000</c:v>
                </c:pt>
                <c:pt idx="19">
                  <c:v>11100</c:v>
                </c:pt>
                <c:pt idx="20">
                  <c:v>15600</c:v>
                </c:pt>
                <c:pt idx="21">
                  <c:v>35000</c:v>
                </c:pt>
                <c:pt idx="22">
                  <c:v>540</c:v>
                </c:pt>
                <c:pt idx="23">
                  <c:v>66000</c:v>
                </c:pt>
                <c:pt idx="24">
                  <c:v>12500</c:v>
                </c:pt>
              </c:numCache>
            </c:numRef>
          </c:val>
          <c:extLst>
            <c:ext xmlns:c16="http://schemas.microsoft.com/office/drawing/2014/chart" uri="{C3380CC4-5D6E-409C-BE32-E72D297353CC}">
              <c16:uniqueId val="{00000000-1A8E-4681-AAE4-D38DCBF21CC8}"/>
            </c:ext>
          </c:extLst>
        </c:ser>
        <c:dLbls>
          <c:showLegendKey val="0"/>
          <c:showVal val="0"/>
          <c:showCatName val="0"/>
          <c:showSerName val="0"/>
          <c:showPercent val="0"/>
          <c:showBubbleSize val="0"/>
        </c:dLbls>
        <c:gapWidth val="182"/>
        <c:axId val="948135232"/>
        <c:axId val="948136192"/>
      </c:barChart>
      <c:catAx>
        <c:axId val="94813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136192"/>
        <c:crosses val="autoZero"/>
        <c:auto val="1"/>
        <c:lblAlgn val="ctr"/>
        <c:lblOffset val="100"/>
        <c:noMultiLvlLbl val="0"/>
      </c:catAx>
      <c:valAx>
        <c:axId val="94813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13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vs Month(Line</a:t>
            </a:r>
            <a:r>
              <a:rPr lang="en-IN" b="1" baseline="0"/>
              <a:t> Chart)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158500</c:v>
                </c:pt>
                <c:pt idx="1">
                  <c:v>40500</c:v>
                </c:pt>
                <c:pt idx="2">
                  <c:v>72000</c:v>
                </c:pt>
                <c:pt idx="3">
                  <c:v>54400</c:v>
                </c:pt>
                <c:pt idx="4">
                  <c:v>44000</c:v>
                </c:pt>
                <c:pt idx="5">
                  <c:v>10900</c:v>
                </c:pt>
                <c:pt idx="6">
                  <c:v>108000</c:v>
                </c:pt>
                <c:pt idx="7">
                  <c:v>53100</c:v>
                </c:pt>
                <c:pt idx="8">
                  <c:v>16400</c:v>
                </c:pt>
                <c:pt idx="9">
                  <c:v>91000</c:v>
                </c:pt>
                <c:pt idx="10">
                  <c:v>22140</c:v>
                </c:pt>
                <c:pt idx="11">
                  <c:v>66750</c:v>
                </c:pt>
              </c:numCache>
            </c:numRef>
          </c:val>
          <c:smooth val="0"/>
          <c:extLst>
            <c:ext xmlns:c16="http://schemas.microsoft.com/office/drawing/2014/chart" uri="{C3380CC4-5D6E-409C-BE32-E72D297353CC}">
              <c16:uniqueId val="{00000000-E4AC-4567-9622-830AF3D586E5}"/>
            </c:ext>
          </c:extLst>
        </c:ser>
        <c:dLbls>
          <c:showLegendKey val="0"/>
          <c:showVal val="0"/>
          <c:showCatName val="0"/>
          <c:showSerName val="0"/>
          <c:showPercent val="0"/>
          <c:showBubbleSize val="0"/>
        </c:dLbls>
        <c:smooth val="0"/>
        <c:axId val="511393840"/>
        <c:axId val="511394320"/>
      </c:lineChart>
      <c:catAx>
        <c:axId val="51139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94320"/>
        <c:crosses val="autoZero"/>
        <c:auto val="1"/>
        <c:lblAlgn val="ctr"/>
        <c:lblOffset val="100"/>
        <c:noMultiLvlLbl val="0"/>
      </c:catAx>
      <c:valAx>
        <c:axId val="5113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9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 and Charts!PivotTable2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a:t>
            </a:r>
            <a:r>
              <a:rPr lang="en-IN" b="1" baseline="0"/>
              <a:t> vs Profit(Column chart)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Charts'!$B$13</c:f>
              <c:strCache>
                <c:ptCount val="1"/>
                <c:pt idx="0">
                  <c:v>Total</c:v>
                </c:pt>
              </c:strCache>
            </c:strRef>
          </c:tx>
          <c:spPr>
            <a:solidFill>
              <a:schemeClr val="accent1"/>
            </a:solidFill>
            <a:ln>
              <a:noFill/>
            </a:ln>
            <a:effectLst/>
          </c:spPr>
          <c:invertIfNegative val="0"/>
          <c:cat>
            <c:strRef>
              <c:f>'Pivot Table and Charts'!$A$14:$A$24</c:f>
              <c:strCache>
                <c:ptCount val="10"/>
                <c:pt idx="0">
                  <c:v>Chair</c:v>
                </c:pt>
                <c:pt idx="1">
                  <c:v>Headphones</c:v>
                </c:pt>
                <c:pt idx="2">
                  <c:v>Laptop</c:v>
                </c:pt>
                <c:pt idx="3">
                  <c:v>Marker</c:v>
                </c:pt>
                <c:pt idx="4">
                  <c:v>Mobile</c:v>
                </c:pt>
                <c:pt idx="5">
                  <c:v>Notebook</c:v>
                </c:pt>
                <c:pt idx="6">
                  <c:v>Pen</c:v>
                </c:pt>
                <c:pt idx="7">
                  <c:v>Sofa</c:v>
                </c:pt>
                <c:pt idx="8">
                  <c:v>Table</c:v>
                </c:pt>
                <c:pt idx="9">
                  <c:v>Tablet</c:v>
                </c:pt>
              </c:strCache>
            </c:strRef>
          </c:cat>
          <c:val>
            <c:numRef>
              <c:f>'Pivot Table and Charts'!$B$14:$B$24</c:f>
              <c:numCache>
                <c:formatCode>General</c:formatCode>
                <c:ptCount val="10"/>
                <c:pt idx="0">
                  <c:v>7100</c:v>
                </c:pt>
                <c:pt idx="1">
                  <c:v>1750</c:v>
                </c:pt>
                <c:pt idx="2">
                  <c:v>21000</c:v>
                </c:pt>
                <c:pt idx="3">
                  <c:v>350</c:v>
                </c:pt>
                <c:pt idx="4">
                  <c:v>24500</c:v>
                </c:pt>
                <c:pt idx="5">
                  <c:v>-400</c:v>
                </c:pt>
                <c:pt idx="6">
                  <c:v>110</c:v>
                </c:pt>
                <c:pt idx="7">
                  <c:v>6440</c:v>
                </c:pt>
                <c:pt idx="8">
                  <c:v>10500</c:v>
                </c:pt>
                <c:pt idx="9">
                  <c:v>6700</c:v>
                </c:pt>
              </c:numCache>
            </c:numRef>
          </c:val>
          <c:extLst>
            <c:ext xmlns:c16="http://schemas.microsoft.com/office/drawing/2014/chart" uri="{C3380CC4-5D6E-409C-BE32-E72D297353CC}">
              <c16:uniqueId val="{00000000-E7DC-4702-946B-0CC71A57672D}"/>
            </c:ext>
          </c:extLst>
        </c:ser>
        <c:dLbls>
          <c:showLegendKey val="0"/>
          <c:showVal val="0"/>
          <c:showCatName val="0"/>
          <c:showSerName val="0"/>
          <c:showPercent val="0"/>
          <c:showBubbleSize val="0"/>
        </c:dLbls>
        <c:gapWidth val="219"/>
        <c:overlap val="-27"/>
        <c:axId val="570046544"/>
        <c:axId val="570049904"/>
      </c:barChart>
      <c:catAx>
        <c:axId val="57004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049904"/>
        <c:crosses val="autoZero"/>
        <c:auto val="1"/>
        <c:lblAlgn val="ctr"/>
        <c:lblOffset val="100"/>
        <c:noMultiLvlLbl val="0"/>
      </c:catAx>
      <c:valAx>
        <c:axId val="57004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04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 and 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Quantity Vs Product(Column Chart)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Charts'!$B$32</c:f>
              <c:strCache>
                <c:ptCount val="1"/>
                <c:pt idx="0">
                  <c:v>Total</c:v>
                </c:pt>
              </c:strCache>
            </c:strRef>
          </c:tx>
          <c:spPr>
            <a:solidFill>
              <a:schemeClr val="accent1"/>
            </a:solidFill>
            <a:ln>
              <a:noFill/>
            </a:ln>
            <a:effectLst/>
          </c:spPr>
          <c:invertIfNegative val="0"/>
          <c:cat>
            <c:strRef>
              <c:f>'Pivot Table and Charts'!$A$33:$A$43</c:f>
              <c:strCache>
                <c:ptCount val="10"/>
                <c:pt idx="0">
                  <c:v>Chair</c:v>
                </c:pt>
                <c:pt idx="1">
                  <c:v>Headphones</c:v>
                </c:pt>
                <c:pt idx="2">
                  <c:v>Laptop</c:v>
                </c:pt>
                <c:pt idx="3">
                  <c:v>Marker</c:v>
                </c:pt>
                <c:pt idx="4">
                  <c:v>Mobile</c:v>
                </c:pt>
                <c:pt idx="5">
                  <c:v>Notebook</c:v>
                </c:pt>
                <c:pt idx="6">
                  <c:v>Pen</c:v>
                </c:pt>
                <c:pt idx="7">
                  <c:v>Sofa</c:v>
                </c:pt>
                <c:pt idx="8">
                  <c:v>Table</c:v>
                </c:pt>
                <c:pt idx="9">
                  <c:v>Tablet</c:v>
                </c:pt>
              </c:strCache>
            </c:strRef>
          </c:cat>
          <c:val>
            <c:numRef>
              <c:f>'Pivot Table and Charts'!$B$33:$B$43</c:f>
              <c:numCache>
                <c:formatCode>General</c:formatCode>
                <c:ptCount val="10"/>
                <c:pt idx="0">
                  <c:v>14</c:v>
                </c:pt>
                <c:pt idx="1">
                  <c:v>15</c:v>
                </c:pt>
                <c:pt idx="2">
                  <c:v>4</c:v>
                </c:pt>
                <c:pt idx="3">
                  <c:v>15</c:v>
                </c:pt>
                <c:pt idx="4">
                  <c:v>12</c:v>
                </c:pt>
                <c:pt idx="5">
                  <c:v>22</c:v>
                </c:pt>
                <c:pt idx="6">
                  <c:v>50</c:v>
                </c:pt>
                <c:pt idx="7">
                  <c:v>2</c:v>
                </c:pt>
                <c:pt idx="8">
                  <c:v>4</c:v>
                </c:pt>
                <c:pt idx="9">
                  <c:v>4</c:v>
                </c:pt>
              </c:numCache>
            </c:numRef>
          </c:val>
          <c:extLst>
            <c:ext xmlns:c16="http://schemas.microsoft.com/office/drawing/2014/chart" uri="{C3380CC4-5D6E-409C-BE32-E72D297353CC}">
              <c16:uniqueId val="{00000002-9329-457C-949D-D8E232D87CAB}"/>
            </c:ext>
          </c:extLst>
        </c:ser>
        <c:dLbls>
          <c:showLegendKey val="0"/>
          <c:showVal val="0"/>
          <c:showCatName val="0"/>
          <c:showSerName val="0"/>
          <c:showPercent val="0"/>
          <c:showBubbleSize val="0"/>
        </c:dLbls>
        <c:gapWidth val="219"/>
        <c:overlap val="-27"/>
        <c:axId val="577279008"/>
        <c:axId val="577275648"/>
      </c:barChart>
      <c:catAx>
        <c:axId val="57727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75648"/>
        <c:crosses val="autoZero"/>
        <c:auto val="1"/>
        <c:lblAlgn val="ctr"/>
        <c:lblOffset val="100"/>
        <c:noMultiLvlLbl val="0"/>
      </c:catAx>
      <c:valAx>
        <c:axId val="57727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7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264160</xdr:colOff>
      <xdr:row>0</xdr:row>
      <xdr:rowOff>124460</xdr:rowOff>
    </xdr:from>
    <xdr:to>
      <xdr:col>12</xdr:col>
      <xdr:colOff>568960</xdr:colOff>
      <xdr:row>15</xdr:row>
      <xdr:rowOff>124460</xdr:rowOff>
    </xdr:to>
    <xdr:graphicFrame macro="">
      <xdr:nvGraphicFramePr>
        <xdr:cNvPr id="4" name="Chart 3">
          <a:extLst>
            <a:ext uri="{FF2B5EF4-FFF2-40B4-BE49-F238E27FC236}">
              <a16:creationId xmlns:a16="http://schemas.microsoft.com/office/drawing/2014/main" id="{274E2D7C-C9B8-4C09-A051-FC82D9689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266700</xdr:colOff>
      <xdr:row>15</xdr:row>
      <xdr:rowOff>132080</xdr:rowOff>
    </xdr:from>
    <xdr:to>
      <xdr:col>12</xdr:col>
      <xdr:colOff>571500</xdr:colOff>
      <xdr:row>30</xdr:row>
      <xdr:rowOff>132080</xdr:rowOff>
    </xdr:to>
    <xdr:graphicFrame macro="">
      <xdr:nvGraphicFramePr>
        <xdr:cNvPr id="2" name="Chart 1">
          <a:extLst>
            <a:ext uri="{FF2B5EF4-FFF2-40B4-BE49-F238E27FC236}">
              <a16:creationId xmlns:a16="http://schemas.microsoft.com/office/drawing/2014/main" id="{D7EFB509-8A37-4376-AEB4-7B184B3F0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579120</xdr:colOff>
      <xdr:row>0</xdr:row>
      <xdr:rowOff>114300</xdr:rowOff>
    </xdr:from>
    <xdr:to>
      <xdr:col>20</xdr:col>
      <xdr:colOff>274320</xdr:colOff>
      <xdr:row>15</xdr:row>
      <xdr:rowOff>99060</xdr:rowOff>
    </xdr:to>
    <xdr:graphicFrame macro="">
      <xdr:nvGraphicFramePr>
        <xdr:cNvPr id="3" name="Chart 2">
          <a:extLst>
            <a:ext uri="{FF2B5EF4-FFF2-40B4-BE49-F238E27FC236}">
              <a16:creationId xmlns:a16="http://schemas.microsoft.com/office/drawing/2014/main" id="{A5E8DA60-2711-47D8-9C71-5360E3FA1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558800</xdr:colOff>
      <xdr:row>15</xdr:row>
      <xdr:rowOff>166370</xdr:rowOff>
    </xdr:from>
    <xdr:to>
      <xdr:col>20</xdr:col>
      <xdr:colOff>254000</xdr:colOff>
      <xdr:row>30</xdr:row>
      <xdr:rowOff>166370</xdr:rowOff>
    </xdr:to>
    <xdr:graphicFrame macro="">
      <xdr:nvGraphicFramePr>
        <xdr:cNvPr id="5" name="Chart 4">
          <a:extLst>
            <a:ext uri="{FF2B5EF4-FFF2-40B4-BE49-F238E27FC236}">
              <a16:creationId xmlns:a16="http://schemas.microsoft.com/office/drawing/2014/main" id="{ABEB2141-13D3-9CF2-D661-95F4CBB4A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279400</xdr:colOff>
      <xdr:row>0</xdr:row>
      <xdr:rowOff>140970</xdr:rowOff>
    </xdr:from>
    <xdr:to>
      <xdr:col>27</xdr:col>
      <xdr:colOff>584200</xdr:colOff>
      <xdr:row>15</xdr:row>
      <xdr:rowOff>140970</xdr:rowOff>
    </xdr:to>
    <xdr:graphicFrame macro="">
      <xdr:nvGraphicFramePr>
        <xdr:cNvPr id="6" name="Chart 5">
          <a:extLst>
            <a:ext uri="{FF2B5EF4-FFF2-40B4-BE49-F238E27FC236}">
              <a16:creationId xmlns:a16="http://schemas.microsoft.com/office/drawing/2014/main" id="{E7A4EEC0-2EB6-736B-23F7-BD380A67D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refreshedDate="46008.625793634259" createdVersion="8" refreshedVersion="8" minRefreshableVersion="3" recordCount="25" xr:uid="{44233682-AFF3-44A9-97EC-EE1ED4757A67}">
  <cacheSource type="worksheet">
    <worksheetSource name="Table3"/>
  </cacheSource>
  <cacheFields count="15">
    <cacheField name="Order_ID" numFmtId="0">
      <sharedItems containsSemiMixedTypes="0" containsString="0" containsNumber="1" containsInteger="1" minValue="1001" maxValue="1025"/>
    </cacheField>
    <cacheField name="Order_Date" numFmtId="14">
      <sharedItems containsSemiMixedTypes="0" containsNonDate="0" containsDate="1" containsString="0" minDate="2024-01-01T00:00:00" maxDate="2026-01-02T00:00:00" count="25">
        <d v="2024-01-01T00:00:00"/>
        <d v="2024-02-02T00:00:00"/>
        <d v="2024-03-03T00:00:00"/>
        <d v="2024-04-04T00:00:00"/>
        <d v="2024-05-05T00:00:00"/>
        <d v="2024-06-06T00:00:00"/>
        <d v="2024-07-07T00:00:00"/>
        <d v="2024-08-08T00:00:00"/>
        <d v="2024-09-09T00:00:00"/>
        <d v="2024-10-10T00:00:00"/>
        <d v="2024-11-11T00:00:00"/>
        <d v="2024-12-12T00:00:00"/>
        <d v="2025-01-01T00:00:00"/>
        <d v="2025-02-02T00:00:00"/>
        <d v="2025-03-03T00:00:00"/>
        <d v="2025-04-04T00:00:00"/>
        <d v="2025-05-05T00:00:00"/>
        <d v="2025-06-06T00:00:00"/>
        <d v="2025-07-07T00:00:00"/>
        <d v="2025-08-08T00:00:00"/>
        <d v="2025-09-09T00:00:00"/>
        <d v="2025-10-10T00:00:00"/>
        <d v="2025-11-11T00:00:00"/>
        <d v="2025-12-12T00:00:00"/>
        <d v="2026-01-01T00:00:00"/>
      </sharedItems>
      <fieldGroup par="14"/>
    </cacheField>
    <cacheField name="Region" numFmtId="0">
      <sharedItems count="4">
        <s v="North"/>
        <s v="South"/>
        <s v="East"/>
        <s v="West"/>
      </sharedItems>
    </cacheField>
    <cacheField name="Category" numFmtId="0">
      <sharedItems count="3">
        <s v="Electronics"/>
        <s v="Furniture"/>
        <s v="Stationery"/>
      </sharedItems>
    </cacheField>
    <cacheField name="Product" numFmtId="0">
      <sharedItems count="10">
        <s v="Laptop"/>
        <s v="Chair"/>
        <s v="Mobile"/>
        <s v="Pen"/>
        <s v="Table"/>
        <s v="Headphones"/>
        <s v="Sofa"/>
        <s v="Notebook"/>
        <s v="Marker"/>
        <s v="Tablet"/>
      </sharedItems>
    </cacheField>
    <cacheField name="Quantity" numFmtId="0">
      <sharedItems containsSemiMixedTypes="0" containsString="0" containsNumber="1" containsInteger="1" minValue="1" maxValue="30"/>
    </cacheField>
    <cacheField name="Unit_Price" numFmtId="0">
      <sharedItems containsSemiMixedTypes="0" containsString="0" containsNumber="1" containsInteger="1" minValue="18" maxValue="56000"/>
    </cacheField>
    <cacheField name="Profit" numFmtId="0">
      <sharedItems containsSemiMixedTypes="0" containsString="0" containsNumber="1" containsInteger="1" minValue="-900" maxValue="8000"/>
    </cacheField>
    <cacheField name="Sales" numFmtId="0">
      <sharedItems containsSemiMixedTypes="0" containsString="0" containsNumber="1" containsInteger="1" minValue="400" maxValue="110000"/>
    </cacheField>
    <cacheField name="Profit%" numFmtId="2">
      <sharedItems containsSemiMixedTypes="0" containsString="0" containsNumber="1" minValue="-112.5" maxValue="55.555555555555557"/>
    </cacheField>
    <cacheField name="Month" numFmtId="0">
      <sharedItems/>
    </cacheField>
    <cacheField name="Profit or Loss" numFmtId="0">
      <sharedItems/>
    </cacheField>
    <cacheField name="Months (Order_Date)" numFmtId="0" databaseField="0">
      <fieldGroup base="1">
        <rangePr groupBy="months" startDate="2024-01-01T00:00:00" endDate="2026-01-02T00:00:00"/>
        <groupItems count="14">
          <s v="&lt;01-01-2024"/>
          <s v="Jan"/>
          <s v="Feb"/>
          <s v="Mar"/>
          <s v="Apr"/>
          <s v="May"/>
          <s v="Jun"/>
          <s v="Jul"/>
          <s v="Aug"/>
          <s v="Sep"/>
          <s v="Oct"/>
          <s v="Nov"/>
          <s v="Dec"/>
          <s v="&gt;02-01-2026"/>
        </groupItems>
      </fieldGroup>
    </cacheField>
    <cacheField name="Quarters (Order_Date)" numFmtId="0" databaseField="0">
      <fieldGroup base="1">
        <rangePr groupBy="quarters" startDate="2024-01-01T00:00:00" endDate="2026-01-02T00:00:00"/>
        <groupItems count="6">
          <s v="&lt;01-01-2024"/>
          <s v="Qtr1"/>
          <s v="Qtr2"/>
          <s v="Qtr3"/>
          <s v="Qtr4"/>
          <s v="&gt;02-01-2026"/>
        </groupItems>
      </fieldGroup>
    </cacheField>
    <cacheField name="Years (Order_Date)" numFmtId="0" databaseField="0">
      <fieldGroup base="1">
        <rangePr groupBy="years" startDate="2024-01-01T00:00:00" endDate="2026-01-02T00:00:00"/>
        <groupItems count="5">
          <s v="&lt;01-01-2024"/>
          <s v="2024"/>
          <s v="2025"/>
          <s v="2026"/>
          <s v="&gt;02-0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001"/>
    <x v="0"/>
    <x v="0"/>
    <x v="0"/>
    <x v="0"/>
    <n v="2"/>
    <n v="55000"/>
    <n v="8000"/>
    <n v="110000"/>
    <n v="7.2727272727272725"/>
    <s v="Jan"/>
    <s v="Profit"/>
  </r>
  <r>
    <n v="1002"/>
    <x v="1"/>
    <x v="1"/>
    <x v="1"/>
    <x v="1"/>
    <n v="5"/>
    <n v="3500"/>
    <n v="2500"/>
    <n v="17500"/>
    <n v="14.285714285714285"/>
    <s v="Feb"/>
    <s v="Profit"/>
  </r>
  <r>
    <n v="1003"/>
    <x v="2"/>
    <x v="2"/>
    <x v="0"/>
    <x v="2"/>
    <n v="3"/>
    <n v="20000"/>
    <n v="6000"/>
    <n v="60000"/>
    <n v="10"/>
    <s v="Mar"/>
    <s v="Profit"/>
  </r>
  <r>
    <n v="1004"/>
    <x v="3"/>
    <x v="3"/>
    <x v="2"/>
    <x v="3"/>
    <n v="20"/>
    <n v="20"/>
    <n v="200"/>
    <n v="400"/>
    <n v="50"/>
    <s v="Apr"/>
    <s v="Profit"/>
  </r>
  <r>
    <n v="1005"/>
    <x v="4"/>
    <x v="0"/>
    <x v="1"/>
    <x v="4"/>
    <n v="1"/>
    <n v="12000"/>
    <n v="3000"/>
    <n v="12000"/>
    <n v="25"/>
    <s v="May"/>
    <s v="Profit"/>
  </r>
  <r>
    <n v="1006"/>
    <x v="5"/>
    <x v="1"/>
    <x v="0"/>
    <x v="5"/>
    <n v="4"/>
    <n v="2500"/>
    <n v="1000"/>
    <n v="10000"/>
    <n v="10"/>
    <s v="Jun"/>
    <s v="Profit"/>
  </r>
  <r>
    <n v="1007"/>
    <x v="6"/>
    <x v="2"/>
    <x v="1"/>
    <x v="6"/>
    <n v="1"/>
    <n v="30000"/>
    <n v="7000"/>
    <n v="30000"/>
    <n v="23.333333333333332"/>
    <s v="Jul"/>
    <s v="Profit"/>
  </r>
  <r>
    <n v="1008"/>
    <x v="7"/>
    <x v="3"/>
    <x v="0"/>
    <x v="2"/>
    <n v="2"/>
    <n v="21000"/>
    <n v="5000"/>
    <n v="42000"/>
    <n v="11.904761904761903"/>
    <s v="Aug"/>
    <s v="Profit"/>
  </r>
  <r>
    <n v="1009"/>
    <x v="8"/>
    <x v="0"/>
    <x v="2"/>
    <x v="7"/>
    <n v="10"/>
    <n v="80"/>
    <n v="-900"/>
    <n v="800"/>
    <n v="-112.5"/>
    <s v="Sep"/>
    <s v="Loss"/>
  </r>
  <r>
    <n v="1010"/>
    <x v="9"/>
    <x v="1"/>
    <x v="0"/>
    <x v="0"/>
    <n v="1"/>
    <n v="56000"/>
    <n v="6000"/>
    <n v="56000"/>
    <n v="10.714285714285714"/>
    <s v="Oct"/>
    <s v="Profit"/>
  </r>
  <r>
    <n v="1011"/>
    <x v="10"/>
    <x v="2"/>
    <x v="1"/>
    <x v="1"/>
    <n v="6"/>
    <n v="3600"/>
    <n v="2800"/>
    <n v="21600"/>
    <n v="12.962962962962962"/>
    <s v="Nov"/>
    <s v="Profit"/>
  </r>
  <r>
    <n v="1012"/>
    <x v="11"/>
    <x v="3"/>
    <x v="2"/>
    <x v="8"/>
    <n v="15"/>
    <n v="50"/>
    <n v="350"/>
    <n v="750"/>
    <n v="46.666666666666664"/>
    <s v="Dec"/>
    <s v="Profit"/>
  </r>
  <r>
    <n v="1013"/>
    <x v="12"/>
    <x v="0"/>
    <x v="0"/>
    <x v="9"/>
    <n v="2"/>
    <n v="18000"/>
    <n v="3500"/>
    <n v="36000"/>
    <n v="9.7222222222222232"/>
    <s v="Jan"/>
    <s v="Profit"/>
  </r>
  <r>
    <n v="1014"/>
    <x v="13"/>
    <x v="1"/>
    <x v="1"/>
    <x v="4"/>
    <n v="2"/>
    <n v="11500"/>
    <n v="4000"/>
    <n v="23000"/>
    <n v="17.391304347826086"/>
    <s v="Feb"/>
    <s v="Profit"/>
  </r>
  <r>
    <n v="1015"/>
    <x v="14"/>
    <x v="2"/>
    <x v="0"/>
    <x v="5"/>
    <n v="5"/>
    <n v="2400"/>
    <n v="1200"/>
    <n v="12000"/>
    <n v="10"/>
    <s v="Mar"/>
    <s v="Profit"/>
  </r>
  <r>
    <n v="1016"/>
    <x v="15"/>
    <x v="3"/>
    <x v="0"/>
    <x v="0"/>
    <n v="1"/>
    <n v="54000"/>
    <n v="7000"/>
    <n v="54000"/>
    <n v="12.962962962962962"/>
    <s v="Apr"/>
    <s v="Profit"/>
  </r>
  <r>
    <n v="1017"/>
    <x v="16"/>
    <x v="0"/>
    <x v="1"/>
    <x v="6"/>
    <n v="1"/>
    <n v="32000"/>
    <n v="-560"/>
    <n v="32000"/>
    <n v="-1.7500000000000002"/>
    <s v="May"/>
    <s v="Loss"/>
  </r>
  <r>
    <n v="1018"/>
    <x v="17"/>
    <x v="1"/>
    <x v="2"/>
    <x v="7"/>
    <n v="12"/>
    <n v="75"/>
    <n v="500"/>
    <n v="900"/>
    <n v="55.555555555555557"/>
    <s v="Jun"/>
    <s v="Profit"/>
  </r>
  <r>
    <n v="1019"/>
    <x v="18"/>
    <x v="2"/>
    <x v="0"/>
    <x v="2"/>
    <n v="4"/>
    <n v="19500"/>
    <n v="7500"/>
    <n v="78000"/>
    <n v="9.6153846153846168"/>
    <s v="Jul"/>
    <s v="Profit"/>
  </r>
  <r>
    <n v="1020"/>
    <x v="19"/>
    <x v="3"/>
    <x v="1"/>
    <x v="1"/>
    <n v="3"/>
    <n v="3700"/>
    <n v="1800"/>
    <n v="11100"/>
    <n v="16.216216216216218"/>
    <s v="Aug"/>
    <s v="Profit"/>
  </r>
  <r>
    <n v="1021"/>
    <x v="20"/>
    <x v="0"/>
    <x v="0"/>
    <x v="5"/>
    <n v="6"/>
    <n v="2600"/>
    <n v="-450"/>
    <n v="15600"/>
    <n v="-2.8846153846153846"/>
    <s v="Sep"/>
    <s v="Loss"/>
  </r>
  <r>
    <n v="1022"/>
    <x v="21"/>
    <x v="1"/>
    <x v="0"/>
    <x v="9"/>
    <n v="2"/>
    <n v="17500"/>
    <n v="3200"/>
    <n v="35000"/>
    <n v="9.1428571428571423"/>
    <s v="Oct"/>
    <s v="Profit"/>
  </r>
  <r>
    <n v="1023"/>
    <x v="22"/>
    <x v="2"/>
    <x v="2"/>
    <x v="3"/>
    <n v="30"/>
    <n v="18"/>
    <n v="-90"/>
    <n v="540"/>
    <n v="-16.666666666666664"/>
    <s v="Nov"/>
    <s v="Loss"/>
  </r>
  <r>
    <n v="1024"/>
    <x v="23"/>
    <x v="3"/>
    <x v="0"/>
    <x v="2"/>
    <n v="3"/>
    <n v="22000"/>
    <n v="6000"/>
    <n v="66000"/>
    <n v="9.0909090909090917"/>
    <s v="Dec"/>
    <s v="Profit"/>
  </r>
  <r>
    <n v="1025"/>
    <x v="24"/>
    <x v="0"/>
    <x v="1"/>
    <x v="4"/>
    <n v="1"/>
    <n v="12500"/>
    <n v="3500"/>
    <n v="12500"/>
    <n v="28.000000000000004"/>
    <s v="Jan"/>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2D55DD-3619-4E36-8968-F09303C757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5">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dataField="1" showAll="0"/>
    <pivotField numFmtId="2"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608BA9-A567-4E8E-AFB5-BBE27155BD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24" firstHeaderRow="1" firstDataRow="1" firstDataCol="1"/>
  <pivotFields count="15">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axis="axisRow" showAll="0">
      <items count="11">
        <item x="1"/>
        <item x="5"/>
        <item x="0"/>
        <item x="8"/>
        <item x="2"/>
        <item x="7"/>
        <item x="3"/>
        <item x="6"/>
        <item x="4"/>
        <item x="9"/>
        <item t="default"/>
      </items>
    </pivotField>
    <pivotField showAll="0"/>
    <pivotField showAll="0"/>
    <pivotField dataField="1" showAll="0"/>
    <pivotField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11">
    <i>
      <x/>
    </i>
    <i>
      <x v="1"/>
    </i>
    <i>
      <x v="2"/>
    </i>
    <i>
      <x v="3"/>
    </i>
    <i>
      <x v="4"/>
    </i>
    <i>
      <x v="5"/>
    </i>
    <i>
      <x v="6"/>
    </i>
    <i>
      <x v="7"/>
    </i>
    <i>
      <x v="8"/>
    </i>
    <i>
      <x v="9"/>
    </i>
    <i t="grand">
      <x/>
    </i>
  </rowItems>
  <colItems count="1">
    <i/>
  </colItems>
  <dataFields count="1">
    <dataField name="Sum of Profit" fld="7"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918B1C-B23A-4A1A-B54F-087F7A3AA3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43" firstHeaderRow="1" firstDataRow="1" firstDataCol="1"/>
  <pivotFields count="15">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axis="axisRow" showAll="0">
      <items count="11">
        <item x="1"/>
        <item x="5"/>
        <item x="0"/>
        <item x="8"/>
        <item x="2"/>
        <item x="7"/>
        <item x="3"/>
        <item x="6"/>
        <item x="4"/>
        <item x="9"/>
        <item t="default"/>
      </items>
    </pivotField>
    <pivotField dataField="1" showAll="0"/>
    <pivotField showAll="0"/>
    <pivotField showAll="0"/>
    <pivotField showAll="0"/>
    <pivotField numFmtId="2"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11">
    <i>
      <x/>
    </i>
    <i>
      <x v="1"/>
    </i>
    <i>
      <x v="2"/>
    </i>
    <i>
      <x v="3"/>
    </i>
    <i>
      <x v="4"/>
    </i>
    <i>
      <x v="5"/>
    </i>
    <i>
      <x v="6"/>
    </i>
    <i>
      <x v="7"/>
    </i>
    <i>
      <x v="8"/>
    </i>
    <i>
      <x v="9"/>
    </i>
    <i t="grand">
      <x/>
    </i>
  </rowItems>
  <colItems count="1">
    <i/>
  </colItems>
  <dataFields count="1">
    <dataField name="Sum of Quantity" fld="5"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85C2EC-9D94-4BCD-B935-2A74DDDD55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5">
        <item x="2"/>
        <item x="0"/>
        <item x="1"/>
        <item x="3"/>
        <item t="default"/>
      </items>
    </pivotField>
    <pivotField showAll="0"/>
    <pivotField showAll="0"/>
    <pivotField showAll="0"/>
    <pivotField showAll="0"/>
    <pivotField showAll="0"/>
    <pivotField dataField="1"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A04D63-8E38-4600-A2A3-C5B95491F3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24" firstHeaderRow="1" firstDataRow="1" firstDataCol="1"/>
  <pivotFields count="15">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axis="axisRow" showAll="0">
      <items count="4">
        <item x="0"/>
        <item x="1"/>
        <item x="2"/>
        <item t="default"/>
      </items>
    </pivotField>
    <pivotField showAll="0"/>
    <pivotField showAll="0"/>
    <pivotField showAll="0"/>
    <pivotField dataField="1" showAll="0"/>
    <pivotField showAll="0"/>
    <pivotField numFmtId="2"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4">
    <i>
      <x/>
    </i>
    <i>
      <x v="1"/>
    </i>
    <i>
      <x v="2"/>
    </i>
    <i t="grand">
      <x/>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53D6F5-A857-4EF7-BBB1-A18025E566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6" firstHeaderRow="1" firstDataRow="1" firstDataCol="1"/>
  <pivotFields count="15">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dataField="1" showAll="0"/>
    <pivotField numFmtId="2"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46FC53-D2AE-45AE-B67B-8C54E371BA01}" name="Table3" displayName="Table3" ref="A1:L26" totalsRowShown="0" headerRowDxfId="15" headerRowBorderDxfId="14" tableBorderDxfId="13" totalsRowBorderDxfId="12">
  <autoFilter ref="A1:L26" xr:uid="{B446FC53-D2AE-45AE-B67B-8C54E371BA01}"/>
  <tableColumns count="12">
    <tableColumn id="1" xr3:uid="{CB94EBD0-12E7-4995-98A6-E7A754E607C4}" name="Order_ID" dataDxfId="11"/>
    <tableColumn id="2" xr3:uid="{CD8CE5AE-76E6-4371-B17C-D24C594DAD0E}" name="Order_Date" dataDxfId="10"/>
    <tableColumn id="3" xr3:uid="{4379A5EE-382F-4EFE-A801-0B9B4FA263D9}" name="Region" dataDxfId="9"/>
    <tableColumn id="4" xr3:uid="{B9DEA1F8-72CD-490F-8C5E-4FD9B6DA5E14}" name="Category" dataDxfId="8"/>
    <tableColumn id="5" xr3:uid="{80E19087-DF6A-4F28-A0BF-EA96A10A9E82}" name="Product" dataDxfId="7"/>
    <tableColumn id="6" xr3:uid="{67D1DDF8-9C3D-4650-B176-95165B54DF0A}" name="Quantity" dataDxfId="6"/>
    <tableColumn id="7" xr3:uid="{EB10BAEB-B51B-4AA2-9FBA-AAF23F653B11}" name="Unit_Price" dataDxfId="5"/>
    <tableColumn id="8" xr3:uid="{677FB595-726A-48A9-8979-62E5D874697E}" name="Profit" dataDxfId="4"/>
    <tableColumn id="9" xr3:uid="{8CB47237-5265-45FC-AFFF-3A5F86DE0BFF}" name="Sales" dataDxfId="3">
      <calculatedColumnFormula>F2*G2</calculatedColumnFormula>
    </tableColumn>
    <tableColumn id="10" xr3:uid="{7F4CC1A2-2954-412E-AC20-C073A8E40B03}" name="Profit%" dataDxfId="2">
      <calculatedColumnFormula>(H2/I2)*100</calculatedColumnFormula>
    </tableColumn>
    <tableColumn id="11" xr3:uid="{28DB6868-A0A1-4CA8-8B14-CA56485EB2A4}" name="Month" dataDxfId="1">
      <calculatedColumnFormula>TEXT(B2,"mmm-yyyy")</calculatedColumnFormula>
    </tableColumn>
    <tableColumn id="12" xr3:uid="{4B1D7B4A-6227-4E94-AC55-67BE871E8014}" name="Profit or Loss" dataDxfId="0">
      <calculatedColumnFormula>IF(H2&gt;0,"Profit","Loss")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D7B13A-5FAC-4E5A-9CC9-F63294ED9C2C}" name="Order_Id" displayName="Order_Id" ref="A1:E8" totalsRowShown="0">
  <autoFilter ref="A1:E8" xr:uid="{ACD7B13A-5FAC-4E5A-9CC9-F63294ED9C2C}"/>
  <tableColumns count="5">
    <tableColumn id="1" xr3:uid="{2CE32AD9-F1FC-4876-857F-2CC7FCDB1AC1}" name="Order_Id "/>
    <tableColumn id="2" xr3:uid="{CC7A836D-B985-4552-AF25-E1462A3DD0BC}" name=" Customer_Name " dataDxfId="17"/>
    <tableColumn id="3" xr3:uid="{EDFF6571-46EA-48F0-8E13-1E1E3A021B11}" name=" Order_Date " dataDxfId="16"/>
    <tableColumn id="4" xr3:uid="{AA8A3F47-78DE-4286-9B48-8F30A4C9DD14}" name=" Sales "/>
    <tableColumn id="5" xr3:uid="{71EB4728-4442-45DD-AB0B-05979CDC259B}" name=" Profit "/>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01F70B-8D5A-4853-A6DC-DD3514736579}" name="Table3__33" displayName="Table3__33" ref="A16:E22" totalsRowShown="0" headerRowCellStyle="Comma" dataCellStyle="Comma">
  <autoFilter ref="A16:E22" xr:uid="{0701F70B-8D5A-4853-A6DC-DD3514736579}"/>
  <tableColumns count="5">
    <tableColumn id="1" xr3:uid="{432067C4-92E2-4040-B980-0324DB7F5C02}" name="order id " dataCellStyle="Comma"/>
    <tableColumn id="2" xr3:uid="{3816E113-75F7-4E41-A9F8-132E5FA8415B}" name=" customer name " dataCellStyle="Comma"/>
    <tableColumn id="3" xr3:uid="{6D011164-0875-4476-85CC-D6BC88820EA2}" name=" order_date " dataCellStyle="Comma"/>
    <tableColumn id="4" xr3:uid="{5ACEE46E-8C9F-4132-8120-E15E12527FEC}" name=" sales " dataCellStyle="Comma"/>
    <tableColumn id="5" xr3:uid="{96470B40-22A2-4A4F-9910-5D2D20CEE546}" name=" profit " dataCellStyle="Comma"/>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1141A-79F2-4018-88D7-E7D0C3319050}">
  <dimension ref="A1:L28"/>
  <sheetViews>
    <sheetView zoomScale="67" workbookViewId="0">
      <pane ySplit="1" topLeftCell="A2" activePane="bottomLeft" state="frozen"/>
      <selection pane="bottomLeft" activeCell="F27" sqref="F27"/>
    </sheetView>
  </sheetViews>
  <sheetFormatPr defaultRowHeight="19.95" customHeight="1" x14ac:dyDescent="0.3"/>
  <cols>
    <col min="1" max="1" width="10.21875" customWidth="1"/>
    <col min="2" max="2" width="16.5546875" customWidth="1"/>
    <col min="3" max="3" width="12.33203125" customWidth="1"/>
    <col min="4" max="4" width="12.88671875" customWidth="1"/>
    <col min="5" max="5" width="14.77734375" customWidth="1"/>
    <col min="6" max="6" width="13.33203125" customWidth="1"/>
    <col min="7" max="7" width="14.88671875" customWidth="1"/>
    <col min="8" max="8" width="10.44140625" customWidth="1"/>
    <col min="10" max="10" width="10.5546875" bestFit="1" customWidth="1"/>
    <col min="11" max="11" width="12.6640625" customWidth="1"/>
    <col min="12" max="12" width="16.21875" customWidth="1"/>
    <col min="13" max="13" width="10.88671875" customWidth="1"/>
  </cols>
  <sheetData>
    <row r="1" spans="1:12" ht="19.95" customHeight="1" x14ac:dyDescent="0.3">
      <c r="A1" s="12" t="s">
        <v>0</v>
      </c>
      <c r="B1" s="13" t="s">
        <v>1</v>
      </c>
      <c r="C1" s="13" t="s">
        <v>2</v>
      </c>
      <c r="D1" s="13" t="s">
        <v>3</v>
      </c>
      <c r="E1" s="13" t="s">
        <v>4</v>
      </c>
      <c r="F1" s="13" t="s">
        <v>5</v>
      </c>
      <c r="G1" s="13" t="s">
        <v>6</v>
      </c>
      <c r="H1" s="13" t="s">
        <v>7</v>
      </c>
      <c r="I1" s="13" t="s">
        <v>69</v>
      </c>
      <c r="J1" s="14" t="s">
        <v>70</v>
      </c>
      <c r="K1" s="14" t="s">
        <v>71</v>
      </c>
      <c r="L1" s="15" t="s">
        <v>74</v>
      </c>
    </row>
    <row r="2" spans="1:12" ht="19.95" customHeight="1" x14ac:dyDescent="0.3">
      <c r="A2" s="10">
        <v>1001</v>
      </c>
      <c r="B2" s="3">
        <v>45292</v>
      </c>
      <c r="C2" s="2" t="s">
        <v>8</v>
      </c>
      <c r="D2" s="2" t="s">
        <v>9</v>
      </c>
      <c r="E2" s="2" t="s">
        <v>10</v>
      </c>
      <c r="F2" s="2">
        <v>2</v>
      </c>
      <c r="G2" s="2">
        <v>55000</v>
      </c>
      <c r="H2" s="2">
        <v>8000</v>
      </c>
      <c r="I2" s="5">
        <f>F2*G2</f>
        <v>110000</v>
      </c>
      <c r="J2" s="6">
        <f>(H2/I2)*100</f>
        <v>7.2727272727272725</v>
      </c>
      <c r="K2" s="5" t="str">
        <f t="shared" ref="K2:K26" si="0">TEXT(B2,"mmm-yyyy")</f>
        <v>Jan-2024</v>
      </c>
      <c r="L2" s="11" t="str">
        <f>IF(H2&gt;0,"Profit","Loss")</f>
        <v>Profit</v>
      </c>
    </row>
    <row r="3" spans="1:12" ht="19.95" customHeight="1" x14ac:dyDescent="0.3">
      <c r="A3" s="10">
        <v>1002</v>
      </c>
      <c r="B3" s="3">
        <v>45324</v>
      </c>
      <c r="C3" s="2" t="s">
        <v>11</v>
      </c>
      <c r="D3" s="2" t="s">
        <v>12</v>
      </c>
      <c r="E3" s="2" t="s">
        <v>13</v>
      </c>
      <c r="F3" s="2">
        <v>5</v>
      </c>
      <c r="G3" s="2">
        <v>3500</v>
      </c>
      <c r="H3" s="2">
        <v>2500</v>
      </c>
      <c r="I3" s="5">
        <f t="shared" ref="I3:I26" si="1">F3*G3</f>
        <v>17500</v>
      </c>
      <c r="J3" s="6">
        <f t="shared" ref="J3:J26" si="2">(H3/I3)*100</f>
        <v>14.285714285714285</v>
      </c>
      <c r="K3" s="5" t="str">
        <f t="shared" si="0"/>
        <v>Feb-2024</v>
      </c>
      <c r="L3" s="11" t="str">
        <f t="shared" ref="L3:L26" si="3">IF(H3&gt;0,"Profit","Loss")</f>
        <v>Profit</v>
      </c>
    </row>
    <row r="4" spans="1:12" ht="19.95" customHeight="1" x14ac:dyDescent="0.3">
      <c r="A4" s="10">
        <v>1003</v>
      </c>
      <c r="B4" s="3">
        <v>45354</v>
      </c>
      <c r="C4" s="2" t="s">
        <v>14</v>
      </c>
      <c r="D4" s="2" t="s">
        <v>9</v>
      </c>
      <c r="E4" s="2" t="s">
        <v>15</v>
      </c>
      <c r="F4" s="2">
        <v>3</v>
      </c>
      <c r="G4" s="2">
        <v>20000</v>
      </c>
      <c r="H4" s="2">
        <v>6000</v>
      </c>
      <c r="I4" s="5">
        <f t="shared" si="1"/>
        <v>60000</v>
      </c>
      <c r="J4" s="6">
        <f t="shared" si="2"/>
        <v>10</v>
      </c>
      <c r="K4" s="5" t="str">
        <f t="shared" si="0"/>
        <v>Mar-2024</v>
      </c>
      <c r="L4" s="11" t="str">
        <f t="shared" si="3"/>
        <v>Profit</v>
      </c>
    </row>
    <row r="5" spans="1:12" ht="19.95" customHeight="1" x14ac:dyDescent="0.3">
      <c r="A5" s="10">
        <v>1004</v>
      </c>
      <c r="B5" s="3">
        <v>45386</v>
      </c>
      <c r="C5" s="2" t="s">
        <v>16</v>
      </c>
      <c r="D5" s="2" t="s">
        <v>17</v>
      </c>
      <c r="E5" s="2" t="s">
        <v>18</v>
      </c>
      <c r="F5" s="2">
        <v>20</v>
      </c>
      <c r="G5" s="2">
        <v>20</v>
      </c>
      <c r="H5" s="2">
        <v>200</v>
      </c>
      <c r="I5" s="5">
        <f t="shared" si="1"/>
        <v>400</v>
      </c>
      <c r="J5" s="6">
        <f t="shared" si="2"/>
        <v>50</v>
      </c>
      <c r="K5" s="5" t="str">
        <f t="shared" si="0"/>
        <v>Apr-2024</v>
      </c>
      <c r="L5" s="11" t="str">
        <f t="shared" si="3"/>
        <v>Profit</v>
      </c>
    </row>
    <row r="6" spans="1:12" ht="19.95" customHeight="1" x14ac:dyDescent="0.3">
      <c r="A6" s="10">
        <v>1005</v>
      </c>
      <c r="B6" s="3">
        <v>45417</v>
      </c>
      <c r="C6" s="2" t="s">
        <v>8</v>
      </c>
      <c r="D6" s="2" t="s">
        <v>12</v>
      </c>
      <c r="E6" s="2" t="s">
        <v>19</v>
      </c>
      <c r="F6" s="2">
        <v>1</v>
      </c>
      <c r="G6" s="2">
        <v>12000</v>
      </c>
      <c r="H6" s="2">
        <v>3000</v>
      </c>
      <c r="I6" s="5">
        <f t="shared" si="1"/>
        <v>12000</v>
      </c>
      <c r="J6" s="6">
        <f t="shared" si="2"/>
        <v>25</v>
      </c>
      <c r="K6" s="5" t="str">
        <f t="shared" si="0"/>
        <v>May-2024</v>
      </c>
      <c r="L6" s="11" t="str">
        <f t="shared" si="3"/>
        <v>Profit</v>
      </c>
    </row>
    <row r="7" spans="1:12" ht="19.95" customHeight="1" x14ac:dyDescent="0.3">
      <c r="A7" s="10">
        <v>1006</v>
      </c>
      <c r="B7" s="3">
        <v>45449</v>
      </c>
      <c r="C7" s="2" t="s">
        <v>11</v>
      </c>
      <c r="D7" s="2" t="s">
        <v>9</v>
      </c>
      <c r="E7" s="2" t="s">
        <v>20</v>
      </c>
      <c r="F7" s="2">
        <v>4</v>
      </c>
      <c r="G7" s="2">
        <v>2500</v>
      </c>
      <c r="H7" s="2">
        <v>1000</v>
      </c>
      <c r="I7" s="5">
        <f t="shared" si="1"/>
        <v>10000</v>
      </c>
      <c r="J7" s="6">
        <f t="shared" si="2"/>
        <v>10</v>
      </c>
      <c r="K7" s="5" t="str">
        <f t="shared" si="0"/>
        <v>Jun-2024</v>
      </c>
      <c r="L7" s="11" t="str">
        <f t="shared" si="3"/>
        <v>Profit</v>
      </c>
    </row>
    <row r="8" spans="1:12" ht="19.95" customHeight="1" x14ac:dyDescent="0.3">
      <c r="A8" s="10">
        <v>1007</v>
      </c>
      <c r="B8" s="3">
        <v>45480</v>
      </c>
      <c r="C8" s="2" t="s">
        <v>14</v>
      </c>
      <c r="D8" s="2" t="s">
        <v>12</v>
      </c>
      <c r="E8" s="2" t="s">
        <v>21</v>
      </c>
      <c r="F8" s="2">
        <v>1</v>
      </c>
      <c r="G8" s="2">
        <v>30000</v>
      </c>
      <c r="H8" s="2">
        <v>7000</v>
      </c>
      <c r="I8" s="5">
        <f t="shared" si="1"/>
        <v>30000</v>
      </c>
      <c r="J8" s="6">
        <f t="shared" si="2"/>
        <v>23.333333333333332</v>
      </c>
      <c r="K8" s="5" t="str">
        <f t="shared" si="0"/>
        <v>Jul-2024</v>
      </c>
      <c r="L8" s="11" t="str">
        <f t="shared" si="3"/>
        <v>Profit</v>
      </c>
    </row>
    <row r="9" spans="1:12" ht="19.95" customHeight="1" x14ac:dyDescent="0.3">
      <c r="A9" s="10">
        <v>1008</v>
      </c>
      <c r="B9" s="3">
        <v>45512</v>
      </c>
      <c r="C9" s="2" t="s">
        <v>16</v>
      </c>
      <c r="D9" s="2" t="s">
        <v>9</v>
      </c>
      <c r="E9" s="2" t="s">
        <v>15</v>
      </c>
      <c r="F9" s="2">
        <v>2</v>
      </c>
      <c r="G9" s="2">
        <v>21000</v>
      </c>
      <c r="H9" s="2">
        <v>5000</v>
      </c>
      <c r="I9" s="5">
        <f t="shared" si="1"/>
        <v>42000</v>
      </c>
      <c r="J9" s="6">
        <f t="shared" si="2"/>
        <v>11.904761904761903</v>
      </c>
      <c r="K9" s="5" t="str">
        <f t="shared" si="0"/>
        <v>Aug-2024</v>
      </c>
      <c r="L9" s="11" t="str">
        <f t="shared" si="3"/>
        <v>Profit</v>
      </c>
    </row>
    <row r="10" spans="1:12" ht="19.95" customHeight="1" x14ac:dyDescent="0.3">
      <c r="A10" s="10">
        <v>1009</v>
      </c>
      <c r="B10" s="3">
        <v>45544</v>
      </c>
      <c r="C10" s="2" t="s">
        <v>8</v>
      </c>
      <c r="D10" s="2" t="s">
        <v>17</v>
      </c>
      <c r="E10" s="2" t="s">
        <v>22</v>
      </c>
      <c r="F10" s="2">
        <v>10</v>
      </c>
      <c r="G10" s="2">
        <v>80</v>
      </c>
      <c r="H10" s="2">
        <v>-900</v>
      </c>
      <c r="I10" s="5">
        <f t="shared" si="1"/>
        <v>800</v>
      </c>
      <c r="J10" s="6">
        <f t="shared" si="2"/>
        <v>-112.5</v>
      </c>
      <c r="K10" s="5" t="str">
        <f t="shared" si="0"/>
        <v>Sep-2024</v>
      </c>
      <c r="L10" s="11" t="str">
        <f t="shared" si="3"/>
        <v>Loss</v>
      </c>
    </row>
    <row r="11" spans="1:12" ht="19.95" customHeight="1" x14ac:dyDescent="0.3">
      <c r="A11" s="10">
        <v>1010</v>
      </c>
      <c r="B11" s="3">
        <v>45575</v>
      </c>
      <c r="C11" s="2" t="s">
        <v>11</v>
      </c>
      <c r="D11" s="2" t="s">
        <v>9</v>
      </c>
      <c r="E11" s="2" t="s">
        <v>10</v>
      </c>
      <c r="F11" s="2">
        <v>1</v>
      </c>
      <c r="G11" s="2">
        <v>56000</v>
      </c>
      <c r="H11" s="2">
        <v>6000</v>
      </c>
      <c r="I11" s="5">
        <f t="shared" si="1"/>
        <v>56000</v>
      </c>
      <c r="J11" s="6">
        <f t="shared" si="2"/>
        <v>10.714285714285714</v>
      </c>
      <c r="K11" s="5" t="str">
        <f t="shared" si="0"/>
        <v>Oct-2024</v>
      </c>
      <c r="L11" s="11" t="str">
        <f t="shared" si="3"/>
        <v>Profit</v>
      </c>
    </row>
    <row r="12" spans="1:12" ht="19.95" customHeight="1" x14ac:dyDescent="0.3">
      <c r="A12" s="10">
        <v>1011</v>
      </c>
      <c r="B12" s="3">
        <v>45607</v>
      </c>
      <c r="C12" s="2" t="s">
        <v>14</v>
      </c>
      <c r="D12" s="2" t="s">
        <v>12</v>
      </c>
      <c r="E12" s="2" t="s">
        <v>13</v>
      </c>
      <c r="F12" s="2">
        <v>6</v>
      </c>
      <c r="G12" s="2">
        <v>3600</v>
      </c>
      <c r="H12" s="2">
        <v>2800</v>
      </c>
      <c r="I12" s="5">
        <f t="shared" si="1"/>
        <v>21600</v>
      </c>
      <c r="J12" s="6">
        <f t="shared" si="2"/>
        <v>12.962962962962962</v>
      </c>
      <c r="K12" s="5" t="str">
        <f t="shared" si="0"/>
        <v>Nov-2024</v>
      </c>
      <c r="L12" s="11" t="str">
        <f t="shared" si="3"/>
        <v>Profit</v>
      </c>
    </row>
    <row r="13" spans="1:12" ht="19.95" customHeight="1" x14ac:dyDescent="0.3">
      <c r="A13" s="10">
        <v>1012</v>
      </c>
      <c r="B13" s="3">
        <v>45638</v>
      </c>
      <c r="C13" s="2" t="s">
        <v>16</v>
      </c>
      <c r="D13" s="2" t="s">
        <v>17</v>
      </c>
      <c r="E13" s="2" t="s">
        <v>23</v>
      </c>
      <c r="F13" s="2">
        <v>15</v>
      </c>
      <c r="G13" s="2">
        <v>50</v>
      </c>
      <c r="H13" s="2">
        <v>350</v>
      </c>
      <c r="I13" s="5">
        <f t="shared" si="1"/>
        <v>750</v>
      </c>
      <c r="J13" s="6">
        <f t="shared" si="2"/>
        <v>46.666666666666664</v>
      </c>
      <c r="K13" s="5" t="str">
        <f t="shared" si="0"/>
        <v>Dec-2024</v>
      </c>
      <c r="L13" s="11" t="str">
        <f t="shared" si="3"/>
        <v>Profit</v>
      </c>
    </row>
    <row r="14" spans="1:12" ht="19.95" customHeight="1" x14ac:dyDescent="0.3">
      <c r="A14" s="10">
        <v>1013</v>
      </c>
      <c r="B14" s="3">
        <v>45658</v>
      </c>
      <c r="C14" s="2" t="s">
        <v>8</v>
      </c>
      <c r="D14" s="2" t="s">
        <v>9</v>
      </c>
      <c r="E14" s="2" t="s">
        <v>24</v>
      </c>
      <c r="F14" s="2">
        <v>2</v>
      </c>
      <c r="G14" s="2">
        <v>18000</v>
      </c>
      <c r="H14" s="2">
        <v>3500</v>
      </c>
      <c r="I14" s="5">
        <f t="shared" si="1"/>
        <v>36000</v>
      </c>
      <c r="J14" s="6">
        <f t="shared" si="2"/>
        <v>9.7222222222222232</v>
      </c>
      <c r="K14" s="5" t="str">
        <f t="shared" si="0"/>
        <v>Jan-2025</v>
      </c>
      <c r="L14" s="11" t="str">
        <f t="shared" si="3"/>
        <v>Profit</v>
      </c>
    </row>
    <row r="15" spans="1:12" ht="19.95" customHeight="1" x14ac:dyDescent="0.3">
      <c r="A15" s="10">
        <v>1014</v>
      </c>
      <c r="B15" s="3">
        <v>45690</v>
      </c>
      <c r="C15" s="2" t="s">
        <v>11</v>
      </c>
      <c r="D15" s="2" t="s">
        <v>12</v>
      </c>
      <c r="E15" s="2" t="s">
        <v>19</v>
      </c>
      <c r="F15" s="2">
        <v>2</v>
      </c>
      <c r="G15" s="2">
        <v>11500</v>
      </c>
      <c r="H15" s="2">
        <v>4000</v>
      </c>
      <c r="I15" s="5">
        <f t="shared" si="1"/>
        <v>23000</v>
      </c>
      <c r="J15" s="6">
        <f t="shared" si="2"/>
        <v>17.391304347826086</v>
      </c>
      <c r="K15" s="5" t="str">
        <f t="shared" si="0"/>
        <v>Feb-2025</v>
      </c>
      <c r="L15" s="11" t="str">
        <f t="shared" si="3"/>
        <v>Profit</v>
      </c>
    </row>
    <row r="16" spans="1:12" ht="19.95" customHeight="1" x14ac:dyDescent="0.3">
      <c r="A16" s="10">
        <v>1015</v>
      </c>
      <c r="B16" s="3">
        <v>45719</v>
      </c>
      <c r="C16" s="2" t="s">
        <v>14</v>
      </c>
      <c r="D16" s="2" t="s">
        <v>9</v>
      </c>
      <c r="E16" s="2" t="s">
        <v>20</v>
      </c>
      <c r="F16" s="2">
        <v>5</v>
      </c>
      <c r="G16" s="2">
        <v>2400</v>
      </c>
      <c r="H16" s="2">
        <v>1200</v>
      </c>
      <c r="I16" s="5">
        <f t="shared" si="1"/>
        <v>12000</v>
      </c>
      <c r="J16" s="6">
        <f t="shared" si="2"/>
        <v>10</v>
      </c>
      <c r="K16" s="5" t="str">
        <f t="shared" si="0"/>
        <v>Mar-2025</v>
      </c>
      <c r="L16" s="11" t="str">
        <f t="shared" si="3"/>
        <v>Profit</v>
      </c>
    </row>
    <row r="17" spans="1:12" ht="19.95" customHeight="1" x14ac:dyDescent="0.3">
      <c r="A17" s="10">
        <v>1016</v>
      </c>
      <c r="B17" s="3">
        <v>45751</v>
      </c>
      <c r="C17" s="2" t="s">
        <v>16</v>
      </c>
      <c r="D17" s="2" t="s">
        <v>9</v>
      </c>
      <c r="E17" s="2" t="s">
        <v>10</v>
      </c>
      <c r="F17" s="2">
        <v>1</v>
      </c>
      <c r="G17" s="2">
        <v>54000</v>
      </c>
      <c r="H17" s="2">
        <v>7000</v>
      </c>
      <c r="I17" s="5">
        <f t="shared" si="1"/>
        <v>54000</v>
      </c>
      <c r="J17" s="6">
        <f t="shared" si="2"/>
        <v>12.962962962962962</v>
      </c>
      <c r="K17" s="5" t="str">
        <f t="shared" si="0"/>
        <v>Apr-2025</v>
      </c>
      <c r="L17" s="11" t="str">
        <f t="shared" si="3"/>
        <v>Profit</v>
      </c>
    </row>
    <row r="18" spans="1:12" ht="19.95" customHeight="1" x14ac:dyDescent="0.3">
      <c r="A18" s="10">
        <v>1017</v>
      </c>
      <c r="B18" s="3">
        <v>45782</v>
      </c>
      <c r="C18" s="2" t="s">
        <v>8</v>
      </c>
      <c r="D18" s="2" t="s">
        <v>12</v>
      </c>
      <c r="E18" s="2" t="s">
        <v>21</v>
      </c>
      <c r="F18" s="2">
        <v>1</v>
      </c>
      <c r="G18" s="2">
        <v>32000</v>
      </c>
      <c r="H18" s="2">
        <v>-560</v>
      </c>
      <c r="I18" s="5">
        <f t="shared" si="1"/>
        <v>32000</v>
      </c>
      <c r="J18" s="6">
        <f t="shared" si="2"/>
        <v>-1.7500000000000002</v>
      </c>
      <c r="K18" s="5" t="str">
        <f t="shared" si="0"/>
        <v>May-2025</v>
      </c>
      <c r="L18" s="11" t="str">
        <f t="shared" si="3"/>
        <v>Loss</v>
      </c>
    </row>
    <row r="19" spans="1:12" ht="19.95" customHeight="1" x14ac:dyDescent="0.3">
      <c r="A19" s="10">
        <v>1018</v>
      </c>
      <c r="B19" s="3">
        <v>45814</v>
      </c>
      <c r="C19" s="2" t="s">
        <v>11</v>
      </c>
      <c r="D19" s="2" t="s">
        <v>17</v>
      </c>
      <c r="E19" s="2" t="s">
        <v>22</v>
      </c>
      <c r="F19" s="2">
        <v>12</v>
      </c>
      <c r="G19" s="2">
        <v>75</v>
      </c>
      <c r="H19" s="2">
        <v>500</v>
      </c>
      <c r="I19" s="5">
        <f t="shared" si="1"/>
        <v>900</v>
      </c>
      <c r="J19" s="6">
        <f t="shared" si="2"/>
        <v>55.555555555555557</v>
      </c>
      <c r="K19" s="5" t="str">
        <f t="shared" si="0"/>
        <v>Jun-2025</v>
      </c>
      <c r="L19" s="11" t="str">
        <f t="shared" si="3"/>
        <v>Profit</v>
      </c>
    </row>
    <row r="20" spans="1:12" ht="19.95" customHeight="1" x14ac:dyDescent="0.3">
      <c r="A20" s="10">
        <v>1019</v>
      </c>
      <c r="B20" s="3">
        <v>45845</v>
      </c>
      <c r="C20" s="2" t="s">
        <v>14</v>
      </c>
      <c r="D20" s="2" t="s">
        <v>9</v>
      </c>
      <c r="E20" s="2" t="s">
        <v>15</v>
      </c>
      <c r="F20" s="2">
        <v>4</v>
      </c>
      <c r="G20" s="2">
        <v>19500</v>
      </c>
      <c r="H20" s="2">
        <v>7500</v>
      </c>
      <c r="I20" s="5">
        <f t="shared" si="1"/>
        <v>78000</v>
      </c>
      <c r="J20" s="6">
        <f t="shared" si="2"/>
        <v>9.6153846153846168</v>
      </c>
      <c r="K20" s="5" t="str">
        <f t="shared" si="0"/>
        <v>Jul-2025</v>
      </c>
      <c r="L20" s="11" t="str">
        <f t="shared" si="3"/>
        <v>Profit</v>
      </c>
    </row>
    <row r="21" spans="1:12" ht="19.95" customHeight="1" x14ac:dyDescent="0.3">
      <c r="A21" s="10">
        <v>1020</v>
      </c>
      <c r="B21" s="3">
        <v>45877</v>
      </c>
      <c r="C21" s="2" t="s">
        <v>16</v>
      </c>
      <c r="D21" s="2" t="s">
        <v>12</v>
      </c>
      <c r="E21" s="2" t="s">
        <v>13</v>
      </c>
      <c r="F21" s="2">
        <v>3</v>
      </c>
      <c r="G21" s="2">
        <v>3700</v>
      </c>
      <c r="H21" s="2">
        <v>1800</v>
      </c>
      <c r="I21" s="5">
        <f t="shared" si="1"/>
        <v>11100</v>
      </c>
      <c r="J21" s="6">
        <f t="shared" si="2"/>
        <v>16.216216216216218</v>
      </c>
      <c r="K21" s="5" t="str">
        <f t="shared" si="0"/>
        <v>Aug-2025</v>
      </c>
      <c r="L21" s="11" t="str">
        <f t="shared" si="3"/>
        <v>Profit</v>
      </c>
    </row>
    <row r="22" spans="1:12" ht="19.95" customHeight="1" x14ac:dyDescent="0.3">
      <c r="A22" s="10">
        <v>1021</v>
      </c>
      <c r="B22" s="3">
        <v>45909</v>
      </c>
      <c r="C22" s="2" t="s">
        <v>8</v>
      </c>
      <c r="D22" s="2" t="s">
        <v>9</v>
      </c>
      <c r="E22" s="2" t="s">
        <v>20</v>
      </c>
      <c r="F22" s="2">
        <v>6</v>
      </c>
      <c r="G22" s="2">
        <v>2600</v>
      </c>
      <c r="H22" s="2">
        <v>-450</v>
      </c>
      <c r="I22" s="5">
        <f t="shared" si="1"/>
        <v>15600</v>
      </c>
      <c r="J22" s="6">
        <f t="shared" si="2"/>
        <v>-2.8846153846153846</v>
      </c>
      <c r="K22" s="5" t="str">
        <f t="shared" si="0"/>
        <v>Sep-2025</v>
      </c>
      <c r="L22" s="11" t="str">
        <f t="shared" si="3"/>
        <v>Loss</v>
      </c>
    </row>
    <row r="23" spans="1:12" ht="19.95" customHeight="1" x14ac:dyDescent="0.3">
      <c r="A23" s="10">
        <v>1022</v>
      </c>
      <c r="B23" s="3">
        <v>45940</v>
      </c>
      <c r="C23" s="2" t="s">
        <v>11</v>
      </c>
      <c r="D23" s="2" t="s">
        <v>9</v>
      </c>
      <c r="E23" s="2" t="s">
        <v>24</v>
      </c>
      <c r="F23" s="2">
        <v>2</v>
      </c>
      <c r="G23" s="2">
        <v>17500</v>
      </c>
      <c r="H23" s="2">
        <v>3200</v>
      </c>
      <c r="I23" s="5">
        <f t="shared" si="1"/>
        <v>35000</v>
      </c>
      <c r="J23" s="6">
        <f t="shared" si="2"/>
        <v>9.1428571428571423</v>
      </c>
      <c r="K23" s="5" t="str">
        <f t="shared" si="0"/>
        <v>Oct-2025</v>
      </c>
      <c r="L23" s="11" t="str">
        <f t="shared" si="3"/>
        <v>Profit</v>
      </c>
    </row>
    <row r="24" spans="1:12" ht="19.95" customHeight="1" x14ac:dyDescent="0.3">
      <c r="A24" s="10">
        <v>1023</v>
      </c>
      <c r="B24" s="3">
        <v>45972</v>
      </c>
      <c r="C24" s="2" t="s">
        <v>14</v>
      </c>
      <c r="D24" s="2" t="s">
        <v>17</v>
      </c>
      <c r="E24" s="2" t="s">
        <v>18</v>
      </c>
      <c r="F24" s="2">
        <v>30</v>
      </c>
      <c r="G24" s="2">
        <v>18</v>
      </c>
      <c r="H24" s="2">
        <v>-90</v>
      </c>
      <c r="I24" s="5">
        <f t="shared" si="1"/>
        <v>540</v>
      </c>
      <c r="J24" s="6">
        <f t="shared" si="2"/>
        <v>-16.666666666666664</v>
      </c>
      <c r="K24" s="5" t="str">
        <f t="shared" si="0"/>
        <v>Nov-2025</v>
      </c>
      <c r="L24" s="11" t="str">
        <f t="shared" si="3"/>
        <v>Loss</v>
      </c>
    </row>
    <row r="25" spans="1:12" ht="19.95" customHeight="1" x14ac:dyDescent="0.3">
      <c r="A25" s="10">
        <v>1024</v>
      </c>
      <c r="B25" s="3">
        <v>46003</v>
      </c>
      <c r="C25" s="2" t="s">
        <v>16</v>
      </c>
      <c r="D25" s="2" t="s">
        <v>9</v>
      </c>
      <c r="E25" s="2" t="s">
        <v>15</v>
      </c>
      <c r="F25" s="2">
        <v>3</v>
      </c>
      <c r="G25" s="2">
        <v>22000</v>
      </c>
      <c r="H25" s="2">
        <v>6000</v>
      </c>
      <c r="I25" s="5">
        <f t="shared" si="1"/>
        <v>66000</v>
      </c>
      <c r="J25" s="6">
        <f t="shared" si="2"/>
        <v>9.0909090909090917</v>
      </c>
      <c r="K25" s="5" t="str">
        <f t="shared" si="0"/>
        <v>Dec-2025</v>
      </c>
      <c r="L25" s="11" t="str">
        <f t="shared" si="3"/>
        <v>Profit</v>
      </c>
    </row>
    <row r="26" spans="1:12" ht="19.95" customHeight="1" x14ac:dyDescent="0.3">
      <c r="A26" s="16">
        <v>1025</v>
      </c>
      <c r="B26" s="17">
        <v>46023</v>
      </c>
      <c r="C26" s="18" t="s">
        <v>8</v>
      </c>
      <c r="D26" s="18" t="s">
        <v>12</v>
      </c>
      <c r="E26" s="18" t="s">
        <v>19</v>
      </c>
      <c r="F26" s="18">
        <v>1</v>
      </c>
      <c r="G26" s="18">
        <v>12500</v>
      </c>
      <c r="H26" s="18">
        <v>3500</v>
      </c>
      <c r="I26" s="19">
        <f t="shared" si="1"/>
        <v>12500</v>
      </c>
      <c r="J26" s="20">
        <f t="shared" si="2"/>
        <v>28.000000000000004</v>
      </c>
      <c r="K26" s="19" t="str">
        <f t="shared" si="0"/>
        <v>Jan-2026</v>
      </c>
      <c r="L26" s="21" t="str">
        <f t="shared" si="3"/>
        <v>Profit</v>
      </c>
    </row>
    <row r="27" spans="1:12" ht="19.95" customHeight="1" x14ac:dyDescent="0.3">
      <c r="G27" s="7" t="s">
        <v>72</v>
      </c>
      <c r="H27" s="7">
        <f>SUM(H2:H26)</f>
        <v>78050</v>
      </c>
      <c r="I27" s="7">
        <f>SUM(I2:I26)</f>
        <v>737690</v>
      </c>
    </row>
    <row r="28" spans="1:12" ht="19.95" customHeight="1" x14ac:dyDescent="0.3">
      <c r="G28" s="7" t="s">
        <v>73</v>
      </c>
      <c r="H28" s="7">
        <f>AVERAGE(H2:H26)</f>
        <v>3122</v>
      </c>
      <c r="I28" s="7">
        <f>AVERAGE(I2:I26)</f>
        <v>29507.599999999999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945C-D023-49F1-87B5-317803D05A4D}">
  <dimension ref="A3:B16"/>
  <sheetViews>
    <sheetView workbookViewId="0">
      <selection activeCell="A3" sqref="A3"/>
    </sheetView>
  </sheetViews>
  <sheetFormatPr defaultRowHeight="14.4" x14ac:dyDescent="0.3"/>
  <cols>
    <col min="1" max="1" width="12.44140625" bestFit="1" customWidth="1"/>
    <col min="2" max="2" width="11.5546875" bestFit="1" customWidth="1"/>
  </cols>
  <sheetData>
    <row r="3" spans="1:2" x14ac:dyDescent="0.3">
      <c r="A3" s="8" t="s">
        <v>75</v>
      </c>
      <c r="B3" t="s">
        <v>77</v>
      </c>
    </row>
    <row r="4" spans="1:2" x14ac:dyDescent="0.3">
      <c r="A4" s="9" t="s">
        <v>78</v>
      </c>
      <c r="B4">
        <v>158500</v>
      </c>
    </row>
    <row r="5" spans="1:2" x14ac:dyDescent="0.3">
      <c r="A5" s="9" t="s">
        <v>79</v>
      </c>
      <c r="B5">
        <v>40500</v>
      </c>
    </row>
    <row r="6" spans="1:2" x14ac:dyDescent="0.3">
      <c r="A6" s="9" t="s">
        <v>80</v>
      </c>
      <c r="B6">
        <v>72000</v>
      </c>
    </row>
    <row r="7" spans="1:2" x14ac:dyDescent="0.3">
      <c r="A7" s="9" t="s">
        <v>81</v>
      </c>
      <c r="B7">
        <v>54400</v>
      </c>
    </row>
    <row r="8" spans="1:2" x14ac:dyDescent="0.3">
      <c r="A8" s="9" t="s">
        <v>82</v>
      </c>
      <c r="B8">
        <v>44000</v>
      </c>
    </row>
    <row r="9" spans="1:2" x14ac:dyDescent="0.3">
      <c r="A9" s="9" t="s">
        <v>83</v>
      </c>
      <c r="B9">
        <v>10900</v>
      </c>
    </row>
    <row r="10" spans="1:2" x14ac:dyDescent="0.3">
      <c r="A10" s="9" t="s">
        <v>84</v>
      </c>
      <c r="B10">
        <v>108000</v>
      </c>
    </row>
    <row r="11" spans="1:2" x14ac:dyDescent="0.3">
      <c r="A11" s="9" t="s">
        <v>85</v>
      </c>
      <c r="B11">
        <v>53100</v>
      </c>
    </row>
    <row r="12" spans="1:2" x14ac:dyDescent="0.3">
      <c r="A12" s="9" t="s">
        <v>86</v>
      </c>
      <c r="B12">
        <v>16400</v>
      </c>
    </row>
    <row r="13" spans="1:2" x14ac:dyDescent="0.3">
      <c r="A13" s="9" t="s">
        <v>87</v>
      </c>
      <c r="B13">
        <v>91000</v>
      </c>
    </row>
    <row r="14" spans="1:2" x14ac:dyDescent="0.3">
      <c r="A14" s="9" t="s">
        <v>88</v>
      </c>
      <c r="B14">
        <v>22140</v>
      </c>
    </row>
    <row r="15" spans="1:2" x14ac:dyDescent="0.3">
      <c r="A15" s="9" t="s">
        <v>89</v>
      </c>
      <c r="B15">
        <v>66750</v>
      </c>
    </row>
    <row r="16" spans="1:2" x14ac:dyDescent="0.3">
      <c r="A16" s="9" t="s">
        <v>76</v>
      </c>
      <c r="B16">
        <v>737690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2117-99BB-4C9C-8D83-63789F5B079D}">
  <dimension ref="A2:E43"/>
  <sheetViews>
    <sheetView showGridLines="0" zoomScale="75" zoomScaleNormal="75" workbookViewId="0">
      <selection activeCell="I35" sqref="I35"/>
    </sheetView>
  </sheetViews>
  <sheetFormatPr defaultRowHeight="14.4" x14ac:dyDescent="0.3"/>
  <cols>
    <col min="1" max="1" width="12.44140625" bestFit="1" customWidth="1"/>
    <col min="2" max="2" width="14.21875" bestFit="1" customWidth="1"/>
    <col min="4" max="4" width="12.44140625" bestFit="1" customWidth="1"/>
    <col min="5" max="5" width="11.5546875" bestFit="1" customWidth="1"/>
  </cols>
  <sheetData>
    <row r="2" spans="1:5" x14ac:dyDescent="0.3">
      <c r="A2" s="26" t="s">
        <v>90</v>
      </c>
      <c r="B2" s="27"/>
      <c r="D2" s="26" t="s">
        <v>92</v>
      </c>
      <c r="E2" s="27"/>
    </row>
    <row r="3" spans="1:5" x14ac:dyDescent="0.3">
      <c r="A3" s="8" t="s">
        <v>75</v>
      </c>
      <c r="B3" t="s">
        <v>77</v>
      </c>
      <c r="D3" s="8" t="s">
        <v>75</v>
      </c>
      <c r="E3" t="s">
        <v>77</v>
      </c>
    </row>
    <row r="4" spans="1:5" x14ac:dyDescent="0.3">
      <c r="A4" s="9" t="s">
        <v>14</v>
      </c>
      <c r="B4">
        <v>202140</v>
      </c>
      <c r="D4" s="9" t="s">
        <v>78</v>
      </c>
      <c r="E4">
        <v>158500</v>
      </c>
    </row>
    <row r="5" spans="1:5" x14ac:dyDescent="0.3">
      <c r="A5" s="9" t="s">
        <v>8</v>
      </c>
      <c r="B5">
        <v>218900</v>
      </c>
      <c r="D5" s="9" t="s">
        <v>79</v>
      </c>
      <c r="E5">
        <v>40500</v>
      </c>
    </row>
    <row r="6" spans="1:5" x14ac:dyDescent="0.3">
      <c r="A6" s="9" t="s">
        <v>11</v>
      </c>
      <c r="B6">
        <v>142400</v>
      </c>
      <c r="D6" s="9" t="s">
        <v>80</v>
      </c>
      <c r="E6">
        <v>72000</v>
      </c>
    </row>
    <row r="7" spans="1:5" x14ac:dyDescent="0.3">
      <c r="A7" s="9" t="s">
        <v>16</v>
      </c>
      <c r="B7">
        <v>174250</v>
      </c>
      <c r="D7" s="9" t="s">
        <v>81</v>
      </c>
      <c r="E7">
        <v>54400</v>
      </c>
    </row>
    <row r="8" spans="1:5" x14ac:dyDescent="0.3">
      <c r="A8" s="9" t="s">
        <v>76</v>
      </c>
      <c r="B8">
        <v>737690</v>
      </c>
      <c r="D8" s="9" t="s">
        <v>82</v>
      </c>
      <c r="E8">
        <v>44000</v>
      </c>
    </row>
    <row r="9" spans="1:5" x14ac:dyDescent="0.3">
      <c r="D9" s="9" t="s">
        <v>83</v>
      </c>
      <c r="E9">
        <v>10900</v>
      </c>
    </row>
    <row r="10" spans="1:5" x14ac:dyDescent="0.3">
      <c r="D10" s="9" t="s">
        <v>84</v>
      </c>
      <c r="E10">
        <v>108000</v>
      </c>
    </row>
    <row r="11" spans="1:5" x14ac:dyDescent="0.3">
      <c r="D11" s="9" t="s">
        <v>85</v>
      </c>
      <c r="E11">
        <v>53100</v>
      </c>
    </row>
    <row r="12" spans="1:5" x14ac:dyDescent="0.3">
      <c r="A12" s="26" t="s">
        <v>91</v>
      </c>
      <c r="B12" s="27"/>
      <c r="D12" s="9" t="s">
        <v>86</v>
      </c>
      <c r="E12">
        <v>16400</v>
      </c>
    </row>
    <row r="13" spans="1:5" x14ac:dyDescent="0.3">
      <c r="A13" s="8" t="s">
        <v>75</v>
      </c>
      <c r="B13" t="s">
        <v>93</v>
      </c>
      <c r="D13" s="9" t="s">
        <v>87</v>
      </c>
      <c r="E13">
        <v>91000</v>
      </c>
    </row>
    <row r="14" spans="1:5" x14ac:dyDescent="0.3">
      <c r="A14" s="9" t="s">
        <v>13</v>
      </c>
      <c r="B14">
        <v>7100</v>
      </c>
      <c r="D14" s="9" t="s">
        <v>88</v>
      </c>
      <c r="E14">
        <v>22140</v>
      </c>
    </row>
    <row r="15" spans="1:5" x14ac:dyDescent="0.3">
      <c r="A15" s="9" t="s">
        <v>20</v>
      </c>
      <c r="B15">
        <v>1750</v>
      </c>
      <c r="D15" s="9" t="s">
        <v>89</v>
      </c>
      <c r="E15">
        <v>66750</v>
      </c>
    </row>
    <row r="16" spans="1:5" x14ac:dyDescent="0.3">
      <c r="A16" s="9" t="s">
        <v>10</v>
      </c>
      <c r="B16">
        <v>21000</v>
      </c>
      <c r="D16" s="9" t="s">
        <v>76</v>
      </c>
      <c r="E16">
        <v>737690</v>
      </c>
    </row>
    <row r="17" spans="1:5" x14ac:dyDescent="0.3">
      <c r="A17" s="9" t="s">
        <v>23</v>
      </c>
      <c r="B17">
        <v>350</v>
      </c>
    </row>
    <row r="18" spans="1:5" x14ac:dyDescent="0.3">
      <c r="A18" s="9" t="s">
        <v>15</v>
      </c>
      <c r="B18">
        <v>24500</v>
      </c>
    </row>
    <row r="19" spans="1:5" x14ac:dyDescent="0.3">
      <c r="A19" s="9" t="s">
        <v>22</v>
      </c>
      <c r="B19">
        <v>-400</v>
      </c>
      <c r="D19" s="26" t="s">
        <v>94</v>
      </c>
      <c r="E19" s="27"/>
    </row>
    <row r="20" spans="1:5" x14ac:dyDescent="0.3">
      <c r="A20" s="9" t="s">
        <v>18</v>
      </c>
      <c r="B20">
        <v>110</v>
      </c>
      <c r="D20" s="8" t="s">
        <v>75</v>
      </c>
      <c r="E20" t="s">
        <v>93</v>
      </c>
    </row>
    <row r="21" spans="1:5" x14ac:dyDescent="0.3">
      <c r="A21" s="9" t="s">
        <v>21</v>
      </c>
      <c r="B21">
        <v>6440</v>
      </c>
      <c r="D21" s="9" t="s">
        <v>9</v>
      </c>
      <c r="E21">
        <v>53950</v>
      </c>
    </row>
    <row r="22" spans="1:5" x14ac:dyDescent="0.3">
      <c r="A22" s="9" t="s">
        <v>19</v>
      </c>
      <c r="B22">
        <v>10500</v>
      </c>
      <c r="D22" s="9" t="s">
        <v>12</v>
      </c>
      <c r="E22">
        <v>24040</v>
      </c>
    </row>
    <row r="23" spans="1:5" x14ac:dyDescent="0.3">
      <c r="A23" s="9" t="s">
        <v>24</v>
      </c>
      <c r="B23">
        <v>6700</v>
      </c>
      <c r="D23" s="9" t="s">
        <v>17</v>
      </c>
      <c r="E23">
        <v>60</v>
      </c>
    </row>
    <row r="24" spans="1:5" x14ac:dyDescent="0.3">
      <c r="A24" s="9" t="s">
        <v>76</v>
      </c>
      <c r="B24">
        <v>78050</v>
      </c>
      <c r="D24" s="9" t="s">
        <v>76</v>
      </c>
      <c r="E24">
        <v>78050</v>
      </c>
    </row>
    <row r="32" spans="1:5" x14ac:dyDescent="0.3">
      <c r="A32" s="8" t="s">
        <v>75</v>
      </c>
      <c r="B32" t="s">
        <v>100</v>
      </c>
    </row>
    <row r="33" spans="1:2" x14ac:dyDescent="0.3">
      <c r="A33" s="9" t="s">
        <v>13</v>
      </c>
      <c r="B33">
        <v>14</v>
      </c>
    </row>
    <row r="34" spans="1:2" x14ac:dyDescent="0.3">
      <c r="A34" s="9" t="s">
        <v>20</v>
      </c>
      <c r="B34">
        <v>15</v>
      </c>
    </row>
    <row r="35" spans="1:2" x14ac:dyDescent="0.3">
      <c r="A35" s="9" t="s">
        <v>10</v>
      </c>
      <c r="B35">
        <v>4</v>
      </c>
    </row>
    <row r="36" spans="1:2" x14ac:dyDescent="0.3">
      <c r="A36" s="9" t="s">
        <v>23</v>
      </c>
      <c r="B36">
        <v>15</v>
      </c>
    </row>
    <row r="37" spans="1:2" x14ac:dyDescent="0.3">
      <c r="A37" s="9" t="s">
        <v>15</v>
      </c>
      <c r="B37">
        <v>12</v>
      </c>
    </row>
    <row r="38" spans="1:2" x14ac:dyDescent="0.3">
      <c r="A38" s="9" t="s">
        <v>22</v>
      </c>
      <c r="B38">
        <v>22</v>
      </c>
    </row>
    <row r="39" spans="1:2" x14ac:dyDescent="0.3">
      <c r="A39" s="9" t="s">
        <v>18</v>
      </c>
      <c r="B39">
        <v>50</v>
      </c>
    </row>
    <row r="40" spans="1:2" x14ac:dyDescent="0.3">
      <c r="A40" s="9" t="s">
        <v>21</v>
      </c>
      <c r="B40">
        <v>2</v>
      </c>
    </row>
    <row r="41" spans="1:2" x14ac:dyDescent="0.3">
      <c r="A41" s="9" t="s">
        <v>19</v>
      </c>
      <c r="B41">
        <v>4</v>
      </c>
    </row>
    <row r="42" spans="1:2" x14ac:dyDescent="0.3">
      <c r="A42" s="9" t="s">
        <v>24</v>
      </c>
      <c r="B42">
        <v>4</v>
      </c>
    </row>
    <row r="43" spans="1:2" x14ac:dyDescent="0.3">
      <c r="A43" s="9" t="s">
        <v>76</v>
      </c>
      <c r="B43">
        <v>142</v>
      </c>
    </row>
  </sheetData>
  <mergeCells count="4">
    <mergeCell ref="A2:B2"/>
    <mergeCell ref="A12:B12"/>
    <mergeCell ref="D2:E2"/>
    <mergeCell ref="D19:E19"/>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EB995-A100-4A3E-9DDF-26169BC9D35F}">
  <dimension ref="A1:E22"/>
  <sheetViews>
    <sheetView showGridLines="0" zoomScale="79" workbookViewId="0">
      <selection activeCell="C19" sqref="C19"/>
    </sheetView>
  </sheetViews>
  <sheetFormatPr defaultRowHeight="14.4" x14ac:dyDescent="0.3"/>
  <cols>
    <col min="1" max="1" width="10" bestFit="1" customWidth="1"/>
    <col min="2" max="2" width="16.88671875" bestFit="1" customWidth="1"/>
    <col min="3" max="3" width="12.88671875" bestFit="1" customWidth="1"/>
    <col min="4" max="4" width="12.77734375" bestFit="1" customWidth="1"/>
    <col min="5" max="5" width="8.44140625" bestFit="1" customWidth="1"/>
  </cols>
  <sheetData>
    <row r="1" spans="1:5" x14ac:dyDescent="0.3">
      <c r="A1" t="s">
        <v>63</v>
      </c>
      <c r="B1" t="s">
        <v>64</v>
      </c>
      <c r="C1" t="s">
        <v>65</v>
      </c>
      <c r="D1" t="s">
        <v>66</v>
      </c>
      <c r="E1" t="s">
        <v>67</v>
      </c>
    </row>
    <row r="2" spans="1:5" x14ac:dyDescent="0.3">
      <c r="A2">
        <v>101</v>
      </c>
      <c r="B2" t="s">
        <v>30</v>
      </c>
      <c r="C2" s="1">
        <v>45303</v>
      </c>
      <c r="D2">
        <v>5000</v>
      </c>
      <c r="E2">
        <v>1200</v>
      </c>
    </row>
    <row r="3" spans="1:5" x14ac:dyDescent="0.3">
      <c r="A3">
        <v>102</v>
      </c>
      <c r="B3" t="s">
        <v>31</v>
      </c>
      <c r="C3" s="1">
        <v>45304</v>
      </c>
      <c r="D3">
        <v>4500</v>
      </c>
      <c r="E3">
        <v>900</v>
      </c>
    </row>
    <row r="4" spans="1:5" x14ac:dyDescent="0.3">
      <c r="A4">
        <v>103</v>
      </c>
      <c r="B4" t="s">
        <v>32</v>
      </c>
      <c r="C4" s="1">
        <v>45305</v>
      </c>
      <c r="D4">
        <v>3000</v>
      </c>
      <c r="E4" t="s">
        <v>33</v>
      </c>
    </row>
    <row r="5" spans="1:5" x14ac:dyDescent="0.3">
      <c r="A5">
        <v>104</v>
      </c>
      <c r="B5" t="s">
        <v>34</v>
      </c>
      <c r="C5" s="1">
        <v>45306</v>
      </c>
      <c r="D5" t="s">
        <v>35</v>
      </c>
      <c r="E5">
        <v>1100</v>
      </c>
    </row>
    <row r="6" spans="1:5" x14ac:dyDescent="0.3">
      <c r="A6">
        <v>105</v>
      </c>
      <c r="B6" t="s">
        <v>36</v>
      </c>
      <c r="C6" s="1">
        <v>45307</v>
      </c>
      <c r="D6">
        <v>6000</v>
      </c>
      <c r="E6">
        <v>1500</v>
      </c>
    </row>
    <row r="7" spans="1:5" x14ac:dyDescent="0.3">
      <c r="B7" t="s">
        <v>37</v>
      </c>
      <c r="C7" s="1"/>
      <c r="D7" t="s">
        <v>37</v>
      </c>
      <c r="E7" t="s">
        <v>37</v>
      </c>
    </row>
    <row r="8" spans="1:5" x14ac:dyDescent="0.3">
      <c r="A8">
        <v>106</v>
      </c>
      <c r="B8" t="s">
        <v>38</v>
      </c>
      <c r="C8" s="1">
        <v>45308</v>
      </c>
      <c r="D8">
        <v>7000</v>
      </c>
      <c r="E8">
        <v>1800</v>
      </c>
    </row>
    <row r="9" spans="1:5" ht="14.4" customHeight="1" x14ac:dyDescent="0.3">
      <c r="A9" s="28" t="s">
        <v>68</v>
      </c>
      <c r="B9" s="28"/>
      <c r="C9" s="28"/>
      <c r="D9" s="28"/>
      <c r="E9" s="28"/>
    </row>
    <row r="10" spans="1:5" ht="14.4" customHeight="1" x14ac:dyDescent="0.3">
      <c r="A10" s="28"/>
      <c r="B10" s="28"/>
      <c r="C10" s="28"/>
      <c r="D10" s="28"/>
      <c r="E10" s="28"/>
    </row>
    <row r="11" spans="1:5" x14ac:dyDescent="0.3">
      <c r="A11" s="28"/>
      <c r="B11" s="28"/>
      <c r="C11" s="28"/>
      <c r="D11" s="28"/>
      <c r="E11" s="28"/>
    </row>
    <row r="12" spans="1:5" x14ac:dyDescent="0.3">
      <c r="A12" s="28"/>
      <c r="B12" s="28"/>
      <c r="C12" s="28"/>
      <c r="D12" s="28"/>
      <c r="E12" s="28"/>
    </row>
    <row r="13" spans="1:5" x14ac:dyDescent="0.3">
      <c r="A13" s="28"/>
      <c r="B13" s="28"/>
      <c r="C13" s="28"/>
      <c r="D13" s="28"/>
      <c r="E13" s="28"/>
    </row>
    <row r="14" spans="1:5" x14ac:dyDescent="0.3">
      <c r="A14" s="28"/>
      <c r="B14" s="28"/>
      <c r="C14" s="28"/>
      <c r="D14" s="28"/>
      <c r="E14" s="28"/>
    </row>
    <row r="15" spans="1:5" x14ac:dyDescent="0.3">
      <c r="A15" s="28"/>
      <c r="B15" s="28"/>
      <c r="C15" s="28"/>
      <c r="D15" s="28"/>
      <c r="E15" s="28"/>
    </row>
    <row r="16" spans="1:5" x14ac:dyDescent="0.3">
      <c r="A16" s="4" t="s">
        <v>25</v>
      </c>
      <c r="B16" s="4" t="s">
        <v>26</v>
      </c>
      <c r="C16" s="4" t="s">
        <v>27</v>
      </c>
      <c r="D16" s="4" t="s">
        <v>28</v>
      </c>
      <c r="E16" s="4" t="s">
        <v>29</v>
      </c>
    </row>
    <row r="17" spans="1:5" x14ac:dyDescent="0.3">
      <c r="A17" s="4" t="s">
        <v>39</v>
      </c>
      <c r="B17" s="4" t="s">
        <v>40</v>
      </c>
      <c r="C17" s="4" t="s">
        <v>41</v>
      </c>
      <c r="D17" s="4">
        <v>5000</v>
      </c>
      <c r="E17" s="4" t="s">
        <v>42</v>
      </c>
    </row>
    <row r="18" spans="1:5" x14ac:dyDescent="0.3">
      <c r="A18" s="4" t="s">
        <v>43</v>
      </c>
      <c r="B18" s="4" t="s">
        <v>44</v>
      </c>
      <c r="C18" s="4" t="s">
        <v>45</v>
      </c>
      <c r="D18" s="4">
        <v>4500</v>
      </c>
      <c r="E18" s="4" t="s">
        <v>46</v>
      </c>
    </row>
    <row r="19" spans="1:5" x14ac:dyDescent="0.3">
      <c r="A19" s="4" t="s">
        <v>47</v>
      </c>
      <c r="B19" s="4" t="s">
        <v>48</v>
      </c>
      <c r="C19" s="4" t="s">
        <v>49</v>
      </c>
      <c r="D19" s="4">
        <v>3000</v>
      </c>
      <c r="E19" s="4" t="s">
        <v>62</v>
      </c>
    </row>
    <row r="20" spans="1:5" x14ac:dyDescent="0.3">
      <c r="A20" s="4" t="s">
        <v>50</v>
      </c>
      <c r="B20" s="4" t="s">
        <v>51</v>
      </c>
      <c r="C20" s="4" t="s">
        <v>52</v>
      </c>
      <c r="D20" s="4">
        <v>5000</v>
      </c>
      <c r="E20" s="4" t="s">
        <v>53</v>
      </c>
    </row>
    <row r="21" spans="1:5" x14ac:dyDescent="0.3">
      <c r="A21" s="4" t="s">
        <v>54</v>
      </c>
      <c r="B21" s="4" t="s">
        <v>55</v>
      </c>
      <c r="C21" s="4" t="s">
        <v>56</v>
      </c>
      <c r="D21" s="4">
        <v>6000</v>
      </c>
      <c r="E21" s="4" t="s">
        <v>57</v>
      </c>
    </row>
    <row r="22" spans="1:5" x14ac:dyDescent="0.3">
      <c r="A22" s="4" t="s">
        <v>58</v>
      </c>
      <c r="B22" s="4" t="s">
        <v>59</v>
      </c>
      <c r="C22" s="4" t="s">
        <v>60</v>
      </c>
      <c r="D22" s="4">
        <v>7000</v>
      </c>
      <c r="E22" s="4" t="s">
        <v>61</v>
      </c>
    </row>
  </sheetData>
  <mergeCells count="1">
    <mergeCell ref="A9:E15"/>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8953-0CD4-4F04-8760-9562D6C56EEB}">
  <dimension ref="A1:J13"/>
  <sheetViews>
    <sheetView tabSelected="1" workbookViewId="0">
      <selection activeCell="D10" sqref="D10"/>
    </sheetView>
  </sheetViews>
  <sheetFormatPr defaultRowHeight="14.4" x14ac:dyDescent="0.3"/>
  <sheetData>
    <row r="1" spans="1:10" ht="14.4" customHeight="1" x14ac:dyDescent="0.4">
      <c r="A1" s="24" t="s">
        <v>95</v>
      </c>
      <c r="B1" s="24"/>
      <c r="C1" s="24"/>
      <c r="D1" s="24"/>
      <c r="E1" s="24"/>
      <c r="F1" s="24"/>
    </row>
    <row r="2" spans="1:10" ht="21" x14ac:dyDescent="0.4">
      <c r="A2" s="25" t="s">
        <v>96</v>
      </c>
      <c r="B2" s="25"/>
      <c r="C2" s="25"/>
      <c r="D2" s="25"/>
      <c r="E2" s="25"/>
      <c r="F2" s="25"/>
    </row>
    <row r="3" spans="1:10" ht="21" x14ac:dyDescent="0.4">
      <c r="A3" s="25" t="s">
        <v>97</v>
      </c>
      <c r="B3" s="25"/>
      <c r="C3" s="25"/>
      <c r="D3" s="25"/>
      <c r="E3" s="25"/>
      <c r="F3" s="25"/>
    </row>
    <row r="4" spans="1:10" ht="21" x14ac:dyDescent="0.4">
      <c r="A4" s="25" t="s">
        <v>98</v>
      </c>
      <c r="B4" s="25"/>
      <c r="C4" s="25"/>
      <c r="D4" s="25"/>
      <c r="E4" s="25"/>
      <c r="F4" s="25"/>
    </row>
    <row r="5" spans="1:10" ht="21" x14ac:dyDescent="0.4">
      <c r="A5" s="25" t="s">
        <v>99</v>
      </c>
      <c r="B5" s="25"/>
      <c r="C5" s="25"/>
      <c r="D5" s="25"/>
      <c r="E5" s="25"/>
      <c r="F5" s="25"/>
    </row>
    <row r="6" spans="1:10" ht="21" x14ac:dyDescent="0.4">
      <c r="A6" s="25" t="s">
        <v>101</v>
      </c>
      <c r="B6" s="25"/>
      <c r="C6" s="25"/>
      <c r="D6" s="25"/>
      <c r="E6" s="25"/>
      <c r="F6" s="25"/>
      <c r="J6" s="22"/>
    </row>
    <row r="13" spans="1:10" x14ac:dyDescent="0.3">
      <c r="A13" s="23"/>
      <c r="B13" s="23"/>
      <c r="C13" s="23"/>
      <c r="D13" s="23"/>
      <c r="E13" s="23"/>
      <c r="F13" s="23"/>
    </row>
  </sheetData>
  <mergeCells count="7">
    <mergeCell ref="A13:F13"/>
    <mergeCell ref="A1:F1"/>
    <mergeCell ref="A2:F2"/>
    <mergeCell ref="A3:F3"/>
    <mergeCell ref="A4:F4"/>
    <mergeCell ref="A5:F5"/>
    <mergeCell ref="A6:F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07E2D0-A72F-4EDF-AE6F-3CC59F3343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Order Transaction Data</vt:lpstr>
      <vt:lpstr>Sheet2</vt:lpstr>
      <vt:lpstr>Pivot Table and Charts</vt:lpstr>
      <vt:lpstr>Order_Data_Cleaning</vt:lpstr>
      <vt:lpstr>Business 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pavithra12mb@gmail.com</dc:creator>
  <cp:lastModifiedBy>pavithra12mb@gmail.com</cp:lastModifiedBy>
  <dcterms:created xsi:type="dcterms:W3CDTF">2025-12-15T07:18:47Z</dcterms:created>
  <dcterms:modified xsi:type="dcterms:W3CDTF">2026-03-27T19:20:28Z</dcterms:modified>
</cp:coreProperties>
</file>